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 gaps" sheetId="2" state="visible" r:id="rId2"/>
    <sheet xmlns:r="http://schemas.openxmlformats.org/officeDocument/2006/relationships" name="Current app extras" sheetId="3" state="visible" r:id="rId3"/>
  </sheets>
  <definedNames>
    <definedName name="_xlnm._FilterDatabase" localSheetId="1" hidden="1">'Feature gaps'!$A$4:$L$65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B4838"/>
      <sz val="9"/>
    </font>
    <font>
      <name val="Arial"/>
      <b val="1"/>
      <color rgb="00FFFFFF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E26E26"/>
      </patternFill>
    </fill>
    <fill>
      <patternFill patternType="solid">
        <fgColor rgb="00FFF2CC"/>
      </patternFill>
    </fill>
    <fill>
      <patternFill patternType="solid">
        <fgColor rgb="00E7F1FB"/>
      </patternFill>
    </fill>
    <fill>
      <patternFill patternType="solid">
        <fgColor rgb="00EFEDFF"/>
      </patternFill>
    </fill>
  </fills>
  <borders count="2">
    <border>
      <left/>
      <right/>
      <top/>
      <bottom/>
      <diagonal/>
    </border>
    <border>
      <left style="thin">
        <color rgb="00DCCBB7"/>
      </left>
      <right style="thin">
        <color rgb="00DCCBB7"/>
      </right>
      <top style="thin">
        <color rgb="00DCCBB7"/>
      </top>
      <bottom style="thin">
        <color rgb="00DCCB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wrapText="1"/>
    </xf>
    <xf numFmtId="0" fontId="5" fillId="0" borderId="1" pivotButton="0" quotePrefix="0" xfId="0"/>
    <xf numFmtId="164" fontId="6" fillId="0" borderId="1" pivotButton="0" quotePrefix="0" xfId="0"/>
    <xf numFmtId="164" fontId="5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dxfs count="8">
    <dxf>
      <fill>
        <patternFill patternType="solid">
          <fgColor rgb="00D9EAD3"/>
        </patternFill>
      </fill>
    </dxf>
    <dxf>
      <fill>
        <patternFill patternType="solid">
          <fgColor rgb="00E7F0D0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A9999"/>
        </patternFill>
      </fill>
    </dxf>
    <dxf>
      <fill>
        <patternFill patternType="solid">
          <fgColor rgb="00EEEEEE"/>
        </patternFill>
      </fill>
    </dxf>
    <dxf>
      <font>
        <name val="Arial"/>
        <strike val="1"/>
        <color rgb="008C786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0" customWidth="1" min="4" max="4"/>
    <col width="14" customWidth="1" min="5" max="5"/>
    <col width="14" customWidth="1" min="6" max="6"/>
    <col width="44" customWidth="1" min="7" max="7"/>
  </cols>
  <sheetData>
    <row r="1">
      <c r="A1" s="1" t="inlineStr">
        <is>
          <t>Summary</t>
        </is>
      </c>
    </row>
    <row r="2">
      <c r="A2" s="2" t="inlineStr">
        <is>
          <t>Effort days per difficulty are my rough estimates for one developer. Edit columns B–C (blue) and every effort figure updates. Totals count only features not yet done (see Status below).</t>
        </is>
      </c>
    </row>
    <row r="4">
      <c r="A4" s="3" t="inlineStr">
        <is>
          <t>Difficulty</t>
        </is>
      </c>
      <c r="B4" s="3" t="inlineStr">
        <is>
          <t>Effort low (days)</t>
        </is>
      </c>
      <c r="C4" s="3" t="inlineStr">
        <is>
          <t>Effort high (days)</t>
        </is>
      </c>
      <c r="D4" s="3" t="inlineStr">
        <is>
          <t>Open features</t>
        </is>
      </c>
      <c r="E4" s="3" t="inlineStr">
        <is>
          <t>Total low (days)</t>
        </is>
      </c>
      <c r="F4" s="3" t="inlineStr">
        <is>
          <t>Total high (days)</t>
        </is>
      </c>
      <c r="G4" s="3" t="inlineStr">
        <is>
          <t>Meaning</t>
        </is>
      </c>
    </row>
    <row r="5">
      <c r="A5" s="4" t="inlineStr">
        <is>
          <t>Easy</t>
        </is>
      </c>
      <c r="B5" s="5" t="n">
        <v>0.5</v>
      </c>
      <c r="C5" s="5" t="n">
        <v>1</v>
      </c>
      <c r="D5" s="4">
        <f>COUNTIFS('Feature gaps'!$F$5:$F$65,A5,'Feature gaps'!$K$5:$K$65,"&lt;&gt;Done")</f>
        <v/>
      </c>
      <c r="E5" s="6">
        <f>SUMIFS('Feature gaps'!$G$5:$G$65,'Feature gaps'!$F$5:$F$65,A5,'Feature gaps'!$K$5:$K$65,"&lt;&gt;Done")</f>
        <v/>
      </c>
      <c r="F5" s="6">
        <f>SUMIFS('Feature gaps'!$H$5:$H$65,'Feature gaps'!$F$5:$F$65,A5,'Feature gaps'!$K$5:$K$65,"&lt;&gt;Done")</f>
        <v/>
      </c>
      <c r="G5" s="4" t="inlineStr">
        <is>
          <t>About a day or less</t>
        </is>
      </c>
    </row>
    <row r="6">
      <c r="A6" s="4" t="inlineStr">
        <is>
          <t>Easy–Medium</t>
        </is>
      </c>
      <c r="B6" s="5" t="n">
        <v>1</v>
      </c>
      <c r="C6" s="5" t="n">
        <v>3</v>
      </c>
      <c r="D6" s="4">
        <f>COUNTIFS('Feature gaps'!$F$5:$F$65,A6,'Feature gaps'!$K$5:$K$65,"&lt;&gt;Done")</f>
        <v/>
      </c>
      <c r="E6" s="6">
        <f>SUMIFS('Feature gaps'!$G$5:$G$65,'Feature gaps'!$F$5:$F$65,A6,'Feature gaps'!$K$5:$K$65,"&lt;&gt;Done")</f>
        <v/>
      </c>
      <c r="F6" s="6">
        <f>SUMIFS('Feature gaps'!$H$5:$H$65,'Feature gaps'!$F$5:$F$65,A6,'Feature gaps'!$K$5:$K$65,"&lt;&gt;Done")</f>
        <v/>
      </c>
      <c r="G6" s="4" t="inlineStr">
        <is>
          <t>One to three days</t>
        </is>
      </c>
    </row>
    <row r="7">
      <c r="A7" s="4" t="inlineStr">
        <is>
          <t>Medium</t>
        </is>
      </c>
      <c r="B7" s="5" t="n">
        <v>2</v>
      </c>
      <c r="C7" s="5" t="n">
        <v>5</v>
      </c>
      <c r="D7" s="4">
        <f>COUNTIFS('Feature gaps'!$F$5:$F$65,A7,'Feature gaps'!$K$5:$K$65,"&lt;&gt;Done")</f>
        <v/>
      </c>
      <c r="E7" s="6">
        <f>SUMIFS('Feature gaps'!$G$5:$G$65,'Feature gaps'!$F$5:$F$65,A7,'Feature gaps'!$K$5:$K$65,"&lt;&gt;Done")</f>
        <v/>
      </c>
      <c r="F7" s="6">
        <f>SUMIFS('Feature gaps'!$H$5:$H$65,'Feature gaps'!$F$5:$F$65,A7,'Feature gaps'!$K$5:$K$65,"&lt;&gt;Done")</f>
        <v/>
      </c>
      <c r="G7" s="4" t="inlineStr">
        <is>
          <t>A few days</t>
        </is>
      </c>
    </row>
    <row r="8">
      <c r="A8" s="4" t="inlineStr">
        <is>
          <t>Medium–Hard</t>
        </is>
      </c>
      <c r="B8" s="5" t="n">
        <v>5</v>
      </c>
      <c r="C8" s="5" t="n">
        <v>10</v>
      </c>
      <c r="D8" s="4">
        <f>COUNTIFS('Feature gaps'!$F$5:$F$65,A8,'Feature gaps'!$K$5:$K$65,"&lt;&gt;Done")</f>
        <v/>
      </c>
      <c r="E8" s="6">
        <f>SUMIFS('Feature gaps'!$G$5:$G$65,'Feature gaps'!$F$5:$F$65,A8,'Feature gaps'!$K$5:$K$65,"&lt;&gt;Done")</f>
        <v/>
      </c>
      <c r="F8" s="6">
        <f>SUMIFS('Feature gaps'!$H$5:$H$65,'Feature gaps'!$F$5:$F$65,A8,'Feature gaps'!$K$5:$K$65,"&lt;&gt;Done")</f>
        <v/>
      </c>
      <c r="G8" s="4" t="inlineStr">
        <is>
          <t>One to two weeks</t>
        </is>
      </c>
    </row>
    <row r="9">
      <c r="A9" s="4" t="inlineStr">
        <is>
          <t>Hard</t>
        </is>
      </c>
      <c r="B9" s="5" t="n">
        <v>5</v>
      </c>
      <c r="C9" s="5" t="n">
        <v>15</v>
      </c>
      <c r="D9" s="4">
        <f>COUNTIFS('Feature gaps'!$F$5:$F$65,A9,'Feature gaps'!$K$5:$K$65,"&lt;&gt;Done")</f>
        <v/>
      </c>
      <c r="E9" s="6">
        <f>SUMIFS('Feature gaps'!$G$5:$G$65,'Feature gaps'!$F$5:$F$65,A9,'Feature gaps'!$K$5:$K$65,"&lt;&gt;Done")</f>
        <v/>
      </c>
      <c r="F9" s="6">
        <f>SUMIFS('Feature gaps'!$H$5:$H$65,'Feature gaps'!$F$5:$F$65,A9,'Feature gaps'!$K$5:$K$65,"&lt;&gt;Done")</f>
        <v/>
      </c>
      <c r="G9" s="4" t="inlineStr">
        <is>
          <t>One to three weeks</t>
        </is>
      </c>
    </row>
    <row r="10">
      <c r="A10" s="4" t="inlineStr">
        <is>
          <t>Very hard</t>
        </is>
      </c>
      <c r="B10" s="5" t="n">
        <v>15</v>
      </c>
      <c r="C10" s="5" t="n">
        <v>30</v>
      </c>
      <c r="D10" s="4">
        <f>COUNTIFS('Feature gaps'!$F$5:$F$65,A10,'Feature gaps'!$K$5:$K$65,"&lt;&gt;Done")</f>
        <v/>
      </c>
      <c r="E10" s="6">
        <f>SUMIFS('Feature gaps'!$G$5:$G$65,'Feature gaps'!$F$5:$F$65,A10,'Feature gaps'!$K$5:$K$65,"&lt;&gt;Done")</f>
        <v/>
      </c>
      <c r="F10" s="6">
        <f>SUMIFS('Feature gaps'!$H$5:$H$65,'Feature gaps'!$F$5:$F$65,A10,'Feature gaps'!$K$5:$K$65,"&lt;&gt;Done")</f>
        <v/>
      </c>
      <c r="G10" s="4" t="inlineStr">
        <is>
          <t>More than three weeks, or depends on outside approval</t>
        </is>
      </c>
    </row>
    <row r="11">
      <c r="A11" s="4" t="inlineStr">
        <is>
          <t>Not applicable</t>
        </is>
      </c>
      <c r="B11" s="5" t="n">
        <v>0</v>
      </c>
      <c r="C11" s="5" t="n">
        <v>0</v>
      </c>
      <c r="D11" s="4">
        <f>COUNTIFS('Feature gaps'!$F$5:$F$65,A11,'Feature gaps'!$K$5:$K$65,"&lt;&gt;Done")</f>
        <v/>
      </c>
      <c r="E11" s="6">
        <f>SUMIFS('Feature gaps'!$G$5:$G$65,'Feature gaps'!$F$5:$F$65,A11,'Feature gaps'!$K$5:$K$65,"&lt;&gt;Done")</f>
        <v/>
      </c>
      <c r="F11" s="6">
        <f>SUMIFS('Feature gaps'!$H$5:$H$65,'Feature gaps'!$F$5:$F$65,A11,'Feature gaps'!$K$5:$K$65,"&lt;&gt;Done")</f>
        <v/>
      </c>
      <c r="G11" s="4" t="inlineStr">
        <is>
          <t>Not practical in a standalone app</t>
        </is>
      </c>
    </row>
    <row r="12">
      <c r="A12" s="7" t="inlineStr">
        <is>
          <t>Total</t>
        </is>
      </c>
      <c r="B12" s="7" t="n"/>
      <c r="C12" s="7" t="n"/>
      <c r="D12" s="7">
        <f>SUM(D5:D11)</f>
        <v/>
      </c>
      <c r="E12" s="8">
        <f>SUM(E5:E11)</f>
        <v/>
      </c>
      <c r="F12" s="8">
        <f>SUM(F5:F11)</f>
        <v/>
      </c>
      <c r="G12" s="7" t="n"/>
    </row>
    <row r="14">
      <c r="A14" s="3" t="inlineStr">
        <is>
          <t>Suggested priority</t>
        </is>
      </c>
      <c r="B14" s="3" t="inlineStr">
        <is>
          <t>What it covers</t>
        </is>
      </c>
      <c r="C14" s="3" t="inlineStr"/>
      <c r="D14" s="3" t="inlineStr">
        <is>
          <t>Open features</t>
        </is>
      </c>
      <c r="E14" s="3" t="inlineStr">
        <is>
          <t>Total low (days)</t>
        </is>
      </c>
      <c r="F14" s="3" t="inlineStr">
        <is>
          <t>Total high (days)</t>
        </is>
      </c>
      <c r="G14" s="3" t="inlineStr"/>
    </row>
    <row r="15" ht="28" customHeight="1">
      <c r="A15" s="9" t="inlineStr">
        <is>
          <t>1</t>
        </is>
      </c>
      <c r="B15" s="9" t="inlineStr">
        <is>
          <t>Data compatibility: the add-on's reminders behave the same (all done in 0.2.5)</t>
        </is>
      </c>
      <c r="C15" s="9" t="n"/>
      <c r="D15" s="9">
        <f>COUNTIFS('Feature gaps'!$J$5:$J$65,A15,'Feature gaps'!$K$5:$K$65,"&lt;&gt;Done")</f>
        <v/>
      </c>
      <c r="E15" s="10">
        <f>SUMIFS('Feature gaps'!$G$5:$G$65,'Feature gaps'!$J$5:$J$65,A15,'Feature gaps'!$K$5:$K$65,"&lt;&gt;Done")</f>
        <v/>
      </c>
      <c r="F15" s="10">
        <f>SUMIFS('Feature gaps'!$H$5:$H$65,'Feature gaps'!$J$5:$J$65,A15,'Feature gaps'!$K$5:$K$65,"&lt;&gt;Done")</f>
        <v/>
      </c>
    </row>
    <row r="16" ht="42" customHeight="1">
      <c r="A16" s="9" t="inlineStr">
        <is>
          <t>2</t>
        </is>
      </c>
      <c r="B16" s="9" t="inlineStr">
        <is>
          <t>Quick wins: Quick Alarm, suspend, snooze until, repeat sound, restore backup, go to date (all done in 0.3.0)</t>
        </is>
      </c>
      <c r="C16" s="9" t="n"/>
      <c r="D16" s="9">
        <f>COUNTIFS('Feature gaps'!$J$5:$J$65,A16,'Feature gaps'!$K$5:$K$65,"&lt;&gt;Done")</f>
        <v/>
      </c>
      <c r="E16" s="10">
        <f>SUMIFS('Feature gaps'!$G$5:$G$65,'Feature gaps'!$J$5:$J$65,A16,'Feature gaps'!$K$5:$K$65,"&lt;&gt;Done")</f>
        <v/>
      </c>
      <c r="F16" s="10">
        <f>SUMIFS('Feature gaps'!$H$5:$H$65,'Feature gaps'!$J$5:$J$65,A16,'Feature gaps'!$K$5:$K$65,"&lt;&gt;Done")</f>
        <v/>
      </c>
    </row>
    <row r="17">
      <c r="A17" s="9" t="inlineStr">
        <is>
          <t>3</t>
        </is>
      </c>
      <c r="B17" s="9" t="inlineStr">
        <is>
          <t>Printing and calendar subscriptions</t>
        </is>
      </c>
      <c r="C17" s="9" t="n"/>
      <c r="D17" s="9">
        <f>COUNTIFS('Feature gaps'!$J$5:$J$65,A17,'Feature gaps'!$K$5:$K$65,"&lt;&gt;Done")</f>
        <v/>
      </c>
      <c r="E17" s="10">
        <f>SUMIFS('Feature gaps'!$G$5:$G$65,'Feature gaps'!$J$5:$J$65,A17,'Feature gaps'!$K$5:$K$65,"&lt;&gt;Done")</f>
        <v/>
      </c>
      <c r="F17" s="10">
        <f>SUMIFS('Feature gaps'!$H$5:$H$65,'Feature gaps'!$J$5:$J$65,A17,'Feature gaps'!$K$5:$K$65,"&lt;&gt;Done")</f>
        <v/>
      </c>
    </row>
    <row r="18">
      <c r="A18" s="9" t="inlineStr">
        <is>
          <t>4</t>
        </is>
      </c>
      <c r="B18" s="9" t="inlineStr">
        <is>
          <t>CalDAV sync</t>
        </is>
      </c>
      <c r="C18" s="9" t="n"/>
      <c r="D18" s="9">
        <f>COUNTIFS('Feature gaps'!$J$5:$J$65,A18,'Feature gaps'!$K$5:$K$65,"&lt;&gt;Done")</f>
        <v/>
      </c>
      <c r="E18" s="10">
        <f>SUMIFS('Feature gaps'!$G$5:$G$65,'Feature gaps'!$J$5:$J$65,A18,'Feature gaps'!$K$5:$K$65,"&lt;&gt;Done")</f>
        <v/>
      </c>
      <c r="F18" s="10">
        <f>SUMIFS('Feature gaps'!$H$5:$H$65,'Feature gaps'!$J$5:$J$65,A18,'Feature gaps'!$K$5:$K$65,"&lt;&gt;Done")</f>
        <v/>
      </c>
    </row>
    <row r="19">
      <c r="A19" s="9" t="inlineStr">
        <is>
          <t>Later</t>
        </is>
      </c>
      <c r="B19" s="9" t="inlineStr">
        <is>
          <t>Everything else, including the proposed Thunderbird email scanning</t>
        </is>
      </c>
      <c r="C19" s="9" t="n"/>
      <c r="D19" s="9">
        <f>COUNTIFS('Feature gaps'!$J$5:$J$65,A19,'Feature gaps'!$K$5:$K$65,"&lt;&gt;Done")</f>
        <v/>
      </c>
      <c r="E19" s="10">
        <f>SUMIFS('Feature gaps'!$G$5:$G$65,'Feature gaps'!$J$5:$J$65,A19,'Feature gaps'!$K$5:$K$65,"&lt;&gt;Done")</f>
        <v/>
      </c>
      <c r="F19" s="10">
        <f>SUMIFS('Feature gaps'!$H$5:$H$65,'Feature gaps'!$J$5:$J$65,A19,'Feature gaps'!$K$5:$K$65,"&lt;&gt;Done")</f>
        <v/>
      </c>
    </row>
    <row r="20">
      <c r="A20" s="9" t="inlineStr">
        <is>
          <t>—</t>
        </is>
      </c>
      <c r="B20" s="9" t="inlineStr">
        <is>
          <t>Not applicable</t>
        </is>
      </c>
      <c r="C20" s="9" t="n"/>
      <c r="D20" s="9">
        <f>COUNTIFS('Feature gaps'!$J$5:$J$65,A20,'Feature gaps'!$K$5:$K$65,"&lt;&gt;Done")</f>
        <v/>
      </c>
      <c r="E20" s="10">
        <f>SUMIFS('Feature gaps'!$G$5:$G$65,'Feature gaps'!$J$5:$J$65,A20,'Feature gaps'!$K$5:$K$65,"&lt;&gt;Done")</f>
        <v/>
      </c>
      <c r="F20" s="10">
        <f>SUMIFS('Feature gaps'!$H$5:$H$65,'Feature gaps'!$J$5:$J$65,A20,'Feature gaps'!$K$5:$K$65,"&lt;&gt;Done")</f>
        <v/>
      </c>
    </row>
    <row r="22">
      <c r="A22" s="3" t="inlineStr">
        <is>
          <t>Status</t>
        </is>
      </c>
      <c r="B22" s="3" t="inlineStr"/>
      <c r="C22" s="3" t="inlineStr"/>
      <c r="D22" s="3" t="inlineStr">
        <is>
          <t>Features</t>
        </is>
      </c>
      <c r="E22" s="3" t="inlineStr"/>
      <c r="F22" s="3" t="inlineStr"/>
      <c r="G22" s="3" t="inlineStr"/>
    </row>
    <row r="23">
      <c r="A23" s="11" t="inlineStr">
        <is>
          <t>Not started</t>
        </is>
      </c>
      <c r="D23" s="11">
        <f>COUNTIF('Feature gaps'!$K$5:$K$65,A23)</f>
        <v/>
      </c>
    </row>
    <row r="24">
      <c r="A24" s="11" t="inlineStr">
        <is>
          <t>Planned</t>
        </is>
      </c>
      <c r="D24" s="11">
        <f>COUNTIF('Feature gaps'!$K$5:$K$65,A24)</f>
        <v/>
      </c>
    </row>
    <row r="25">
      <c r="A25" s="11" t="inlineStr">
        <is>
          <t>In progress</t>
        </is>
      </c>
      <c r="D25" s="11">
        <f>COUNTIF('Feature gaps'!$K$5:$K$65,A25)</f>
        <v/>
      </c>
    </row>
    <row r="26">
      <c r="A26" s="11" t="inlineStr">
        <is>
          <t>Done</t>
        </is>
      </c>
      <c r="D26" s="11">
        <f>COUNTIF('Feature gaps'!$K$5:$K$65,A26)</f>
        <v/>
      </c>
    </row>
    <row r="27">
      <c r="A27" s="11" t="inlineStr">
        <is>
          <t>Won't do</t>
        </is>
      </c>
      <c r="D27" s="11">
        <f>COUNTIF('Feature gaps'!$K$5:$K$65,A27)</f>
        <v/>
      </c>
    </row>
    <row r="29">
      <c r="A29" s="3" t="inlineStr">
        <is>
          <t>Source</t>
        </is>
      </c>
      <c r="B29" s="3" t="inlineStr"/>
      <c r="C29" s="3" t="inlineStr"/>
      <c r="D29" s="3" t="inlineStr">
        <is>
          <t>Features</t>
        </is>
      </c>
      <c r="E29" s="3" t="inlineStr">
        <is>
          <t>Done</t>
        </is>
      </c>
      <c r="F29" s="3" t="inlineStr">
        <is>
          <t>Open</t>
        </is>
      </c>
      <c r="G29" s="3" t="inlineStr">
        <is>
          <t>Open effort, low – high (days)</t>
        </is>
      </c>
    </row>
    <row r="30">
      <c r="A30" s="12" t="inlineStr">
        <is>
          <t>In ReminderFox 2.1.6</t>
        </is>
      </c>
      <c r="B30" s="11" t="n"/>
      <c r="C30" s="11" t="n"/>
      <c r="D30" s="11">
        <f>COUNTIF('Feature gaps'!$C$5:$C$65,A30)</f>
        <v/>
      </c>
      <c r="E30" s="11">
        <f>COUNTIFS('Feature gaps'!$C$5:$C$65,A30,'Feature gaps'!$K$5:$K$65,"Done")</f>
        <v/>
      </c>
      <c r="F30" s="11">
        <f>D30-E30</f>
        <v/>
      </c>
      <c r="G30" s="11">
        <f>TEXT(SUMIFS('Feature gaps'!$G$5:$G$65,'Feature gaps'!$C$5:$C$65,A30,'Feature gaps'!$K$5:$K$65,"&lt;&gt;Done"),"0.0")&amp;" – "&amp;TEXT(SUMIFS('Feature gaps'!$H$5:$H$65,'Feature gaps'!$C$5:$C$65,A30,'Feature gaps'!$K$5:$K$65,"&lt;&gt;Done"),"0")</f>
        <v/>
      </c>
    </row>
    <row r="31">
      <c r="A31" s="13" t="inlineStr">
        <is>
          <t>New (not in the add-on)</t>
        </is>
      </c>
      <c r="B31" s="11" t="n"/>
      <c r="C31" s="11" t="n"/>
      <c r="D31" s="11">
        <f>COUNTIF('Feature gaps'!$C$5:$C$65,A31)</f>
        <v/>
      </c>
      <c r="E31" s="11">
        <f>COUNTIFS('Feature gaps'!$C$5:$C$65,A31,'Feature gaps'!$K$5:$K$65,"Done")</f>
        <v/>
      </c>
      <c r="F31" s="11">
        <f>D31-E31</f>
        <v/>
      </c>
      <c r="G31" s="11">
        <f>TEXT(SUMIFS('Feature gaps'!$G$5:$G$65,'Feature gaps'!$C$5:$C$65,A31,'Feature gaps'!$K$5:$K$65,"&lt;&gt;Done"),"0.0")&amp;" – "&amp;TEXT(SUMIFS('Feature gaps'!$H$5:$H$65,'Feature gaps'!$C$5:$C$65,A31,'Feature gaps'!$K$5:$K$65,"&lt;&gt;Done"),"0")</f>
        <v/>
      </c>
    </row>
    <row r="32">
      <c r="A32" s="7" t="inlineStr">
        <is>
          <t>Total</t>
        </is>
      </c>
      <c r="B32" s="7" t="n"/>
      <c r="C32" s="7" t="n"/>
      <c r="D32" s="7">
        <f>D30+D31</f>
        <v/>
      </c>
      <c r="E32" s="7">
        <f>E30+E31</f>
        <v/>
      </c>
      <c r="F32" s="7">
        <f>F30+F31</f>
        <v/>
      </c>
      <c r="G32" s="7" t="n"/>
    </row>
    <row r="33">
      <c r="A33" s="2" t="inlineStr">
        <is>
          <t>In ReminderFox 2.1.6: the add-on had it (ReminderFoxAgain may have it now, or not yet). New: not in the add-on, whether proposed, requested or already added.</t>
        </is>
      </c>
    </row>
  </sheetData>
  <mergeCells count="8">
    <mergeCell ref="B16:C16"/>
    <mergeCell ref="B15:C15"/>
    <mergeCell ref="B19:C19"/>
    <mergeCell ref="B20:C20"/>
    <mergeCell ref="A31:C31"/>
    <mergeCell ref="A30:C30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48" customWidth="1" min="4" max="4"/>
    <col width="30" customWidth="1" min="5" max="5"/>
    <col width="14" customWidth="1" min="6" max="6"/>
    <col width="10" customWidth="1" min="7" max="7"/>
    <col width="10" customWidth="1" min="8" max="8"/>
    <col width="44" customWidth="1" min="9" max="9"/>
    <col width="11" customWidth="1" min="10" max="10"/>
    <col width="13" customWidth="1" min="11" max="11"/>
    <col width="22" customWidth="1" min="12" max="12"/>
  </cols>
  <sheetData>
    <row r="1">
      <c r="A1" s="1" t="inlineStr">
        <is>
          <t>The original ReminderFox add-on (2.1.6) and ReminderFoxAgain 0.9.1 — ReminderFox's features still to bring across, and new features (proposed or added)</t>
        </is>
      </c>
    </row>
    <row r="2">
      <c r="A2" s="2" t="inlineStr">
        <is>
          <t>With thanks to ReminderFox's creators, Tom Mutdosch and Daniel Lee, with Guenter Wahl (github.com/tommut/reminderfox). Difficulty and effort days are estimates for one developer (see the Summary tab). The Source column says whether a feature was in the ReminderFox 2.1.6 add-on or is new. Yellow columns are yours to fill in.</t>
        </is>
      </c>
    </row>
    <row r="4">
      <c r="A4" s="14" t="inlineStr">
        <is>
          <t>#</t>
        </is>
      </c>
      <c r="B4" s="14" t="inlineStr">
        <is>
          <t>Area</t>
        </is>
      </c>
      <c r="C4" s="14" t="inlineStr">
        <is>
          <t>Source</t>
        </is>
      </c>
      <c r="D4" s="14" t="inlineStr">
        <is>
          <t>Feature</t>
        </is>
      </c>
      <c r="E4" s="14" t="inlineStr">
        <is>
          <t>Current app (0.9.1)</t>
        </is>
      </c>
      <c r="F4" s="14" t="inlineStr">
        <is>
          <t>Difficulty</t>
        </is>
      </c>
      <c r="G4" s="14" t="inlineStr">
        <is>
          <t>Effort low (days)</t>
        </is>
      </c>
      <c r="H4" s="14" t="inlineStr">
        <is>
          <t>Effort high (days)</t>
        </is>
      </c>
      <c r="I4" s="14" t="inlineStr">
        <is>
          <t>Notes / approach</t>
        </is>
      </c>
      <c r="J4" s="14" t="inlineStr">
        <is>
          <t>Suggested priority</t>
        </is>
      </c>
      <c r="K4" s="14" t="inlineStr">
        <is>
          <t>Status</t>
        </is>
      </c>
      <c r="L4" s="14" t="inlineStr">
        <is>
          <t>Owner / comments</t>
        </is>
      </c>
    </row>
    <row r="5">
      <c r="A5" s="15" t="n">
        <v>1</v>
      </c>
      <c r="B5" s="9" t="inlineStr">
        <is>
          <t>Data the add-on writes that the current app ignores</t>
        </is>
      </c>
      <c r="C5" s="16" t="inlineStr">
        <is>
          <t>In ReminderFox 2.1.6</t>
        </is>
      </c>
      <c r="D5" s="9" t="inlineStr">
        <is>
          <t>Remind daily until completed: an overdue reminder keeps showing as today, and keeps alarming, until ticked</t>
        </is>
      </c>
      <c r="E5" s="9" t="inlineStr">
        <is>
          <t>Done in 0.2.5</t>
        </is>
      </c>
      <c r="F5" s="17" t="inlineStr">
        <is>
          <t>Easy–Medium</t>
        </is>
      </c>
      <c r="G5" s="10">
        <f>IFERROR(INDEX(Summary!$B$5:$B$11,MATCH(F5,Summary!$A$5:$A$11,0)),"")</f>
        <v/>
      </c>
      <c r="H5" s="10">
        <f>IFERROR(INDEX(Summary!$C$5:$C$11,MATCH(F5,Summary!$A$5:$A$11,0)),"")</f>
        <v/>
      </c>
      <c r="I5" s="9" t="inlineStr">
        <is>
          <t>Checkbox in the editor; the alarm check treats unticked past occurrences as due today. Stored as X-REMINDERFOX-REMIND-UNTIL-COMPLETED (used on Mom's birthday in the sample file).</t>
        </is>
      </c>
      <c r="J5" s="15" t="inlineStr">
        <is>
          <t>1</t>
        </is>
      </c>
      <c r="K5" s="17" t="inlineStr">
        <is>
          <t>Done</t>
        </is>
      </c>
      <c r="L5" s="17" t="inlineStr">
        <is>
          <t>Implemented in 0.2.5</t>
        </is>
      </c>
    </row>
    <row r="6">
      <c r="A6" s="15" t="n">
        <v>2</v>
      </c>
      <c r="B6" s="9" t="inlineStr">
        <is>
          <t>Data the add-on writes that the current app ignores</t>
        </is>
      </c>
      <c r="C6" s="16" t="inlineStr">
        <is>
          <t>In ReminderFox 2.1.6</t>
        </is>
      </c>
      <c r="D6" s="9" t="inlineStr">
        <is>
          <t>Age and anniversary numbers in titles: "Mom's birthday &lt;1960&gt;" shows how many years it has been; &lt;1960#&gt; is a variant</t>
        </is>
      </c>
      <c r="E6" s="9" t="inlineStr">
        <is>
          <t>Done in 0.2.5</t>
        </is>
      </c>
      <c r="F6" s="17" t="inlineStr">
        <is>
          <t>Easy</t>
        </is>
      </c>
      <c r="G6" s="10">
        <f>IFERROR(INDEX(Summary!$B$5:$B$11,MATCH(F6,Summary!$A$5:$A$11,0)),"")</f>
        <v/>
      </c>
      <c r="H6" s="10">
        <f>IFERROR(INDEX(Summary!$C$5:$C$11,MATCH(F6,Summary!$A$5:$A$11,0)),"")</f>
        <v/>
      </c>
      <c r="I6" s="9" t="inlineStr">
        <is>
          <t>Text substitution when displaying the title.</t>
        </is>
      </c>
      <c r="J6" s="15" t="inlineStr">
        <is>
          <t>1</t>
        </is>
      </c>
      <c r="K6" s="17" t="inlineStr">
        <is>
          <t>Done</t>
        </is>
      </c>
      <c r="L6" s="17" t="inlineStr">
        <is>
          <t>Implemented in 0.2.5</t>
        </is>
      </c>
    </row>
    <row r="7">
      <c r="A7" s="15" t="n">
        <v>3</v>
      </c>
      <c r="B7" s="9" t="inlineStr">
        <is>
          <t>Data the add-on writes that the current app ignores</t>
        </is>
      </c>
      <c r="C7" s="16" t="inlineStr">
        <is>
          <t>In ReminderFox 2.1.6</t>
        </is>
      </c>
      <c r="D7" s="9" t="inlineStr">
        <is>
          <t>Show in tooltip: per-item flag (mainly to-dos) to list it in the toolbar icon's tooltip</t>
        </is>
      </c>
      <c r="E7" s="9" t="inlineStr">
        <is>
          <t>Done in 0.2.5</t>
        </is>
      </c>
      <c r="F7" s="17" t="inlineStr">
        <is>
          <t>Easy</t>
        </is>
      </c>
      <c r="G7" s="10">
        <f>IFERROR(INDEX(Summary!$B$5:$B$11,MATCH(F7,Summary!$A$5:$A$11,0)),"")</f>
        <v/>
      </c>
      <c r="H7" s="10">
        <f>IFERROR(INDEX(Summary!$C$5:$C$11,MATCH(F7,Summary!$A$5:$A$11,0)),"")</f>
        <v/>
      </c>
      <c r="I7" s="9" t="inlineStr">
        <is>
          <t>Stored as X-REMINDERFOX-SHOW-IN-TOOLTIP.</t>
        </is>
      </c>
      <c r="J7" s="15" t="inlineStr">
        <is>
          <t>1</t>
        </is>
      </c>
      <c r="K7" s="17" t="inlineStr">
        <is>
          <t>Done</t>
        </is>
      </c>
      <c r="L7" s="17" t="inlineStr">
        <is>
          <t>Implemented in 0.2.5</t>
        </is>
      </c>
    </row>
    <row r="8">
      <c r="A8" s="15" t="n">
        <v>4</v>
      </c>
      <c r="B8" s="9" t="inlineStr">
        <is>
          <t>Data the add-on writes that the current app ignores</t>
        </is>
      </c>
      <c r="C8" s="16" t="inlineStr">
        <is>
          <t>In ReminderFox 2.1.6</t>
        </is>
      </c>
      <c r="D8" s="9" t="inlineStr">
        <is>
          <t>Open the email a reminder came from (Thunderbird)</t>
        </is>
      </c>
      <c r="E8" s="9" t="inlineStr">
        <is>
          <t>Ignored</t>
        </is>
      </c>
      <c r="F8" s="17" t="inlineStr">
        <is>
          <t>Not applicable</t>
        </is>
      </c>
      <c r="G8" s="10">
        <f>IFERROR(INDEX(Summary!$B$5:$B$11,MATCH(F8,Summary!$A$5:$A$11,0)),"")</f>
        <v/>
      </c>
      <c r="H8" s="10">
        <f>IFERROR(INDEX(Summary!$C$5:$C$11,MATCH(F8,Summary!$A$5:$A$11,0)),"")</f>
        <v/>
      </c>
      <c r="I8" s="9" t="inlineStr">
        <is>
          <t>Stored as X-REMINDERFOX-MESSAGEID; only meaningful inside Thunderbird.</t>
        </is>
      </c>
      <c r="J8" s="15" t="inlineStr">
        <is>
          <t>—</t>
        </is>
      </c>
      <c r="K8" s="17" t="inlineStr">
        <is>
          <t>Not started</t>
        </is>
      </c>
      <c r="L8" s="17" t="inlineStr"/>
    </row>
    <row r="9">
      <c r="A9" s="15" t="n">
        <v>5</v>
      </c>
      <c r="B9" s="9" t="inlineStr">
        <is>
          <t>Alarms and notifications</t>
        </is>
      </c>
      <c r="C9" s="16" t="inlineStr">
        <is>
          <t>In ReminderFox 2.1.6</t>
        </is>
      </c>
      <c r="D9" s="9" t="inlineStr">
        <is>
          <t>Quick Alarm: a one-off "in 20 minutes" or "at 3:00" alarm with a message, without making a reminder</t>
        </is>
      </c>
      <c r="E9" s="9" t="inlineStr">
        <is>
          <t>Done in 0.3.0</t>
        </is>
      </c>
      <c r="F9" s="17" t="inlineStr">
        <is>
          <t>Easy</t>
        </is>
      </c>
      <c r="G9" s="10">
        <f>IFERROR(INDEX(Summary!$B$5:$B$11,MATCH(F9,Summary!$A$5:$A$11,0)),"")</f>
        <v/>
      </c>
      <c r="H9" s="10">
        <f>IFERROR(INDEX(Summary!$C$5:$C$11,MATCH(F9,Summary!$A$5:$A$11,0)),"")</f>
        <v/>
      </c>
      <c r="I9" s="9" t="inlineStr">
        <is>
          <t>Toolbar button, Ctrl+Q and tray menu; in N minutes/hours/days or at a time; waiting list with Cancel.</t>
        </is>
      </c>
      <c r="J9" s="15" t="inlineStr">
        <is>
          <t>—</t>
        </is>
      </c>
      <c r="K9" s="17" t="inlineStr">
        <is>
          <t>Done</t>
        </is>
      </c>
      <c r="L9" s="17" t="inlineStr">
        <is>
          <t>Implemented in 0.3.0</t>
        </is>
      </c>
    </row>
    <row r="10">
      <c r="A10" s="15" t="n">
        <v>6</v>
      </c>
      <c r="B10" s="9" t="inlineStr">
        <is>
          <t>Alarms and notifications</t>
        </is>
      </c>
      <c r="C10" s="16" t="inlineStr">
        <is>
          <t>In ReminderFox 2.1.6</t>
        </is>
      </c>
      <c r="D10" s="9" t="inlineStr">
        <is>
          <t>Suspend alerts and alarms until resumed, or for a set time</t>
        </is>
      </c>
      <c r="E10" s="9" t="inlineStr">
        <is>
          <t>Done in 0.3.0</t>
        </is>
      </c>
      <c r="F10" s="17" t="inlineStr">
        <is>
          <t>Easy</t>
        </is>
      </c>
      <c r="G10" s="10">
        <f>IFERROR(INDEX(Summary!$B$5:$B$11,MATCH(F10,Summary!$A$5:$A$11,0)),"")</f>
        <v/>
      </c>
      <c r="H10" s="10">
        <f>IFERROR(INDEX(Summary!$C$5:$C$11,MATCH(F10,Summary!$A$5:$A$11,0)),"")</f>
        <v/>
      </c>
      <c r="I10" s="9" t="inlineStr">
        <is>
          <t>Until resumed, for a time, or until a date and time; status bar shows it and resumes on click.</t>
        </is>
      </c>
      <c r="J10" s="15" t="inlineStr">
        <is>
          <t>—</t>
        </is>
      </c>
      <c r="K10" s="17" t="inlineStr">
        <is>
          <t>Done</t>
        </is>
      </c>
      <c r="L10" s="17" t="inlineStr">
        <is>
          <t>Implemented in 0.3.0</t>
        </is>
      </c>
    </row>
    <row r="11">
      <c r="A11" s="15" t="n">
        <v>7</v>
      </c>
      <c r="B11" s="9" t="inlineStr">
        <is>
          <t>Alarms and notifications</t>
        </is>
      </c>
      <c r="C11" s="16" t="inlineStr">
        <is>
          <t>In ReminderFox 2.1.6</t>
        </is>
      </c>
      <c r="D11" s="9" t="inlineStr">
        <is>
          <t>Snooze until a specific time</t>
        </is>
      </c>
      <c r="E11" s="9" t="inlineStr">
        <is>
          <t>Done in 0.3.0</t>
        </is>
      </c>
      <c r="F11" s="17" t="inlineStr">
        <is>
          <t>Easy</t>
        </is>
      </c>
      <c r="G11" s="10">
        <f>IFERROR(INDEX(Summary!$B$5:$B$11,MATCH(F11,Summary!$A$5:$A$11,0)),"")</f>
        <v/>
      </c>
      <c r="H11" s="10">
        <f>IFERROR(INDEX(Summary!$C$5:$C$11,MATCH(F11,Summary!$A$5:$A$11,0)),"")</f>
        <v/>
      </c>
      <c r="I11" s="9" t="inlineStr">
        <is>
          <t>"until…" in the alarm window: 15:30, 3:30 pm, 3pm (earlier than now = tomorrow).</t>
        </is>
      </c>
      <c r="J11" s="15" t="inlineStr">
        <is>
          <t>—</t>
        </is>
      </c>
      <c r="K11" s="17" t="inlineStr">
        <is>
          <t>Done</t>
        </is>
      </c>
      <c r="L11" s="17" t="inlineStr">
        <is>
          <t>Implemented in 0.3.0</t>
        </is>
      </c>
    </row>
    <row r="12">
      <c r="A12" s="15" t="n">
        <v>8</v>
      </c>
      <c r="B12" s="9" t="inlineStr">
        <is>
          <t>Alarms and notifications</t>
        </is>
      </c>
      <c r="C12" s="16" t="inlineStr">
        <is>
          <t>In ReminderFox 2.1.6</t>
        </is>
      </c>
      <c r="D12" s="9" t="inlineStr">
        <is>
          <t>Repeat the alarm sound every N minutes until acknowledged</t>
        </is>
      </c>
      <c r="E12" s="9" t="inlineStr">
        <is>
          <t>Done in 0.3.0</t>
        </is>
      </c>
      <c r="F12" s="17" t="inlineStr">
        <is>
          <t>Easy</t>
        </is>
      </c>
      <c r="G12" s="10">
        <f>IFERROR(INDEX(Summary!$B$5:$B$11,MATCH(F12,Summary!$A$5:$A$11,0)),"")</f>
        <v/>
      </c>
      <c r="H12" s="10">
        <f>IFERROR(INDEX(Summary!$C$5:$C$11,MATCH(F12,Summary!$A$5:$A$11,0)),"")</f>
        <v/>
      </c>
      <c r="I12" s="9" t="inlineStr">
        <is>
          <t>Every 1–15 minutes until the alarm is dealt with.</t>
        </is>
      </c>
      <c r="J12" s="15" t="inlineStr">
        <is>
          <t>—</t>
        </is>
      </c>
      <c r="K12" s="17" t="inlineStr">
        <is>
          <t>Done</t>
        </is>
      </c>
      <c r="L12" s="17" t="inlineStr">
        <is>
          <t>Implemented in 0.3.0</t>
        </is>
      </c>
    </row>
    <row r="13">
      <c r="A13" s="15" t="n">
        <v>9</v>
      </c>
      <c r="B13" s="9" t="inlineStr">
        <is>
          <t>Alarms and notifications</t>
        </is>
      </c>
      <c r="C13" s="16" t="inlineStr">
        <is>
          <t>In ReminderFox 2.1.6</t>
        </is>
      </c>
      <c r="D13" s="9" t="inlineStr">
        <is>
          <t>Custom alarm sound file</t>
        </is>
      </c>
      <c r="E13" s="9" t="inlineStr">
        <is>
          <t>Done in 0.3.0</t>
        </is>
      </c>
      <c r="F13" s="17" t="inlineStr">
        <is>
          <t>Easy–Medium</t>
        </is>
      </c>
      <c r="G13" s="10">
        <f>IFERROR(INDEX(Summary!$B$5:$B$11,MATCH(F13,Summary!$A$5:$A$11,0)),"")</f>
        <v/>
      </c>
      <c r="H13" s="10">
        <f>IFERROR(INDEX(Summary!$C$5:$C$11,MATCH(F13,Summary!$A$5:$A$11,0)),"")</f>
        <v/>
      </c>
      <c r="I13" s="9" t="inlineStr">
        <is>
          <t>Copied into the data folder; Test button; back to the chime in one click.</t>
        </is>
      </c>
      <c r="J13" s="15" t="inlineStr">
        <is>
          <t>—</t>
        </is>
      </c>
      <c r="K13" s="17" t="inlineStr">
        <is>
          <t>Done</t>
        </is>
      </c>
      <c r="L13" s="17" t="inlineStr">
        <is>
          <t>Implemented in 0.3.0</t>
        </is>
      </c>
    </row>
    <row r="14">
      <c r="A14" s="15" t="n">
        <v>10</v>
      </c>
      <c r="B14" s="9" t="inlineStr">
        <is>
          <t>Alarms and notifications</t>
        </is>
      </c>
      <c r="C14" s="16" t="inlineStr">
        <is>
          <t>In ReminderFox 2.1.6</t>
        </is>
      </c>
      <c r="D14" s="9" t="inlineStr">
        <is>
          <t>Alert slider: corner pop-up listing today's and upcoming reminders every N minutes, with a choice of corner</t>
        </is>
      </c>
      <c r="E14" s="9" t="inlineStr">
        <is>
          <t>Done in 0.3.0</t>
        </is>
      </c>
      <c r="F14" s="17" t="inlineStr">
        <is>
          <t>Medium</t>
        </is>
      </c>
      <c r="G14" s="10">
        <f>IFERROR(INDEX(Summary!$B$5:$B$11,MATCH(F14,Summary!$A$5:$A$11,0)),"")</f>
        <v/>
      </c>
      <c r="H14" s="10">
        <f>IFERROR(INDEX(Summary!$C$5:$C$11,MATCH(F14,Summary!$A$5:$A$11,0)),"")</f>
        <v/>
      </c>
      <c r="I14" s="9" t="inlineStr">
        <is>
          <t>Reminder pop-up: corner, how often, how long, sound; click an item to open it.</t>
        </is>
      </c>
      <c r="J14" s="15" t="inlineStr">
        <is>
          <t>—</t>
        </is>
      </c>
      <c r="K14" s="17" t="inlineStr">
        <is>
          <t>Done</t>
        </is>
      </c>
      <c r="L14" s="17" t="inlineStr">
        <is>
          <t>Implemented in 0.3.0</t>
        </is>
      </c>
    </row>
    <row r="15">
      <c r="A15" s="15" t="n">
        <v>11</v>
      </c>
      <c r="B15" s="9" t="inlineStr">
        <is>
          <t>Alarms and notifications</t>
        </is>
      </c>
      <c r="C15" s="16" t="inlineStr">
        <is>
          <t>In ReminderFox 2.1.6</t>
        </is>
      </c>
      <c r="D15" s="9" t="inlineStr">
        <is>
          <t>Count badge on the toolbar icon (today's and upcoming items)</t>
        </is>
      </c>
      <c r="E15" s="9" t="inlineStr">
        <is>
          <t>Done in 0.3.0</t>
        </is>
      </c>
      <c r="F15" s="17" t="inlineStr">
        <is>
          <t>Easy–Medium</t>
        </is>
      </c>
      <c r="G15" s="10">
        <f>IFERROR(INDEX(Summary!$B$5:$B$11,MATCH(F15,Summary!$A$5:$A$11,0)),"")</f>
        <v/>
      </c>
      <c r="H15" s="10">
        <f>IFERROR(INDEX(Summary!$C$5:$C$11,MATCH(F15,Summary!$A$5:$A$11,0)),"")</f>
        <v/>
      </c>
      <c r="I15" s="9" t="inlineStr">
        <is>
          <t>Tray and taskbar icons; today's or today's and upcoming open items.</t>
        </is>
      </c>
      <c r="J15" s="15" t="inlineStr">
        <is>
          <t>—</t>
        </is>
      </c>
      <c r="K15" s="17" t="inlineStr">
        <is>
          <t>Done</t>
        </is>
      </c>
      <c r="L15" s="17" t="inlineStr">
        <is>
          <t>Implemented in 0.3.0</t>
        </is>
      </c>
    </row>
    <row r="16">
      <c r="A16" s="15" t="n">
        <v>12</v>
      </c>
      <c r="B16" s="9" t="inlineStr">
        <is>
          <t>Lists, views and display</t>
        </is>
      </c>
      <c r="C16" s="16" t="inlineStr">
        <is>
          <t>In ReminderFox 2.1.6</t>
        </is>
      </c>
      <c r="D16" s="9" t="inlineStr">
        <is>
          <t>Custom lists as their own tabs, for reminders as well as to-dos, with "Move to list"</t>
        </is>
      </c>
      <c r="E16" s="9" t="inlineStr">
        <is>
          <t>Done in 0.3.0</t>
        </is>
      </c>
      <c r="F16" s="17" t="inlineStr">
        <is>
          <t>Medium</t>
        </is>
      </c>
      <c r="G16" s="10">
        <f>IFERROR(INDEX(Summary!$B$5:$B$11,MATCH(F16,Summary!$A$5:$A$11,0)),"")</f>
        <v/>
      </c>
      <c r="H16" s="10">
        <f>IFERROR(INDEX(Summary!$C$5:$C$11,MATCH(F16,Summary!$A$5:$A$11,0)),"")</f>
        <v/>
      </c>
      <c r="I16" s="9" t="inlineStr">
        <is>
          <t>To-do lists with counts; manage lists (add/rename/merge/reorder/remove); Move to list…; a reminder can be made a to-do. Since 0.6.0 they are picked in the Lists tab's dropdown (as in the add-on's list menu) instead of one tab each. Separate reminder lists were not added (the add-on kept reminders in one list too in most setups).</t>
        </is>
      </c>
      <c r="J16" s="15" t="inlineStr">
        <is>
          <t>—</t>
        </is>
      </c>
      <c r="K16" s="17" t="inlineStr">
        <is>
          <t>Done</t>
        </is>
      </c>
      <c r="L16" s="17" t="inlineStr">
        <is>
          <t>Implemented in 0.3.0</t>
        </is>
      </c>
    </row>
    <row r="17">
      <c r="A17" s="15" t="n">
        <v>13</v>
      </c>
      <c r="B17" s="9" t="inlineStr">
        <is>
          <t>Lists, views and display</t>
        </is>
      </c>
      <c r="C17" s="16" t="inlineStr">
        <is>
          <t>In ReminderFox 2.1.6</t>
        </is>
      </c>
      <c r="D17" s="9" t="inlineStr">
        <is>
          <t>Views: saved filters built from criteria (text, category, date range, etc.) with an editor</t>
        </is>
      </c>
      <c r="E17" s="9" t="inlineStr">
        <is>
          <t>Done in 0.3.0</t>
        </is>
      </c>
      <c r="F17" s="17" t="inlineStr">
        <is>
          <t>Medium–Hard</t>
        </is>
      </c>
      <c r="G17" s="10">
        <f>IFERROR(INDEX(Summary!$B$5:$B$11,MATCH(F17,Summary!$A$5:$A$11,0)),"")</f>
        <v/>
      </c>
      <c r="H17" s="10">
        <f>IFERROR(INDEX(Summary!$C$5:$C$11,MATCH(F17,Summary!$A$5:$A$11,0)),"")</f>
        <v/>
      </c>
      <c r="I17" s="9" t="inlineStr">
        <is>
          <t>View editor with conditions (any/description/category/notes/location), relative date range, optional to-dos; same matching rules as the add-on.</t>
        </is>
      </c>
      <c r="J17" s="15" t="inlineStr">
        <is>
          <t>—</t>
        </is>
      </c>
      <c r="K17" s="17" t="inlineStr">
        <is>
          <t>Done</t>
        </is>
      </c>
      <c r="L17" s="17" t="inlineStr">
        <is>
          <t>Implemented in 0.3.0</t>
        </is>
      </c>
    </row>
    <row r="18">
      <c r="A18" s="15" t="n">
        <v>14</v>
      </c>
      <c r="B18" s="9" t="inlineStr">
        <is>
          <t>Lists, views and display</t>
        </is>
      </c>
      <c r="C18" s="16" t="inlineStr">
        <is>
          <t>In ReminderFox 2.1.6</t>
        </is>
      </c>
      <c r="D18" s="9" t="inlineStr">
        <is>
          <t>Repeating-reminder display: show N previous or upcoming occurrences, hide repeating reminders, hide completed items</t>
        </is>
      </c>
      <c r="E18" s="9" t="inlineStr">
        <is>
          <t>Done in 0.3.0</t>
        </is>
      </c>
      <c r="F18" s="17" t="inlineStr">
        <is>
          <t>Easy–Medium</t>
        </is>
      </c>
      <c r="G18" s="10">
        <f>IFERROR(INDEX(Summary!$B$5:$B$11,MATCH(F18,Summary!$A$5:$A$11,0)),"")</f>
        <v/>
      </c>
      <c r="H18" s="10">
        <f>IFERROR(INDEX(Summary!$C$5:$C$11,MATCH(F18,Summary!$A$5:$A$11,0)),"")</f>
        <v/>
      </c>
      <c r="I18" s="9" t="inlineStr">
        <is>
          <t>Show the next 1–10 or all of the year's occurrences; hide repeating; hide completed. Since 0.3.1 past occurrences (ticked or not) are listed as in the calendar; since 0.3.3 every list with future dates projects the repeats (Settings → Lists).</t>
        </is>
      </c>
      <c r="J18" s="15" t="inlineStr">
        <is>
          <t>—</t>
        </is>
      </c>
      <c r="K18" s="17" t="inlineStr">
        <is>
          <t>Done</t>
        </is>
      </c>
      <c r="L18" s="17" t="inlineStr">
        <is>
          <t>Implemented in 0.3.0</t>
        </is>
      </c>
    </row>
    <row r="19">
      <c r="A19" s="15" t="n">
        <v>15</v>
      </c>
      <c r="B19" s="9" t="inlineStr">
        <is>
          <t>Lists, views and display</t>
        </is>
      </c>
      <c r="C19" s="16" t="inlineStr">
        <is>
          <t>In ReminderFox 2.1.6</t>
        </is>
      </c>
      <c r="D19" s="9" t="inlineStr">
        <is>
          <t>Manual to-do order (move up and down)</t>
        </is>
      </c>
      <c r="E19" s="9" t="inlineStr">
        <is>
          <t>Done in 0.3.0</t>
        </is>
      </c>
      <c r="F19" s="17" t="inlineStr">
        <is>
          <t>Medium</t>
        </is>
      </c>
      <c r="G19" s="10">
        <f>IFERROR(INDEX(Summary!$B$5:$B$11,MATCH(F19,Summary!$A$5:$A$11,0)),"")</f>
        <v/>
      </c>
      <c r="H19" s="10">
        <f>IFERROR(INDEX(Summary!$C$5:$C$11,MATCH(F19,Summary!$A$5:$A$11,0)),"")</f>
        <v/>
      </c>
      <c r="I19" s="9" t="inlineStr">
        <is>
          <t>My order: drag rows or Alt+↑/↓; stored as X-APPLE-SORT-ORDER.</t>
        </is>
      </c>
      <c r="J19" s="15" t="inlineStr">
        <is>
          <t>—</t>
        </is>
      </c>
      <c r="K19" s="17" t="inlineStr">
        <is>
          <t>Done</t>
        </is>
      </c>
      <c r="L19" s="17" t="inlineStr">
        <is>
          <t>Implemented in 0.3.0</t>
        </is>
      </c>
    </row>
    <row r="20">
      <c r="A20" s="15" t="n">
        <v>16</v>
      </c>
      <c r="B20" s="9" t="inlineStr">
        <is>
          <t>Lists, views and display</t>
        </is>
      </c>
      <c r="C20" s="16" t="inlineStr">
        <is>
          <t>In ReminderFox 2.1.6</t>
        </is>
      </c>
      <c r="D20" s="9" t="inlineStr">
        <is>
          <t>Category manager: rename or delete a category across all items, keep a default category list</t>
        </is>
      </c>
      <c r="E20" s="9" t="inlineStr">
        <is>
          <t>Done in 0.3.0</t>
        </is>
      </c>
      <c r="F20" s="17" t="inlineStr">
        <is>
          <t>Medium</t>
        </is>
      </c>
      <c r="G20" s="10">
        <f>IFERROR(INDEX(Summary!$B$5:$B$11,MATCH(F20,Summary!$A$5:$A$11,0)),"")</f>
        <v/>
      </c>
      <c r="H20" s="10">
        <f>IFERROR(INDEX(Summary!$C$5:$C$11,MATCH(F20,Summary!$A$5:$A$11,0)),"")</f>
        <v/>
      </c>
      <c r="I20" s="9" t="inlineStr">
        <is>
          <t>Rename/merge, delete from items, add own or common categories; tick-list picker in the editor.</t>
        </is>
      </c>
      <c r="J20" s="15" t="inlineStr">
        <is>
          <t>—</t>
        </is>
      </c>
      <c r="K20" s="17" t="inlineStr">
        <is>
          <t>Done</t>
        </is>
      </c>
      <c r="L20" s="17" t="inlineStr">
        <is>
          <t>Implemented in 0.3.0</t>
        </is>
      </c>
    </row>
    <row r="21">
      <c r="A21" s="15" t="n">
        <v>17</v>
      </c>
      <c r="B21" s="9" t="inlineStr">
        <is>
          <t>Lists, views and display</t>
        </is>
      </c>
      <c r="C21" s="16" t="inlineStr">
        <is>
          <t>In ReminderFox 2.1.6</t>
        </is>
      </c>
      <c r="D21" s="9" t="inlineStr">
        <is>
          <t>Layout choice: list only, calendar only or both; several months at once; overdue days in red</t>
        </is>
      </c>
      <c r="E21" s="9" t="inlineStr">
        <is>
          <t>Done in 0.3.0</t>
        </is>
      </c>
      <c r="F21" s="17" t="inlineStr">
        <is>
          <t>Easy–Medium</t>
        </is>
      </c>
      <c r="G21" s="10">
        <f>IFERROR(INDEX(Summary!$B$5:$B$11,MATCH(F21,Summary!$A$5:$A$11,0)),"")</f>
        <v/>
      </c>
      <c r="H21" s="10">
        <f>IFERROR(INDEX(Summary!$C$5:$C$11,MATCH(F21,Summary!$A$5:$A$11,0)),"")</f>
        <v/>
      </c>
      <c r="I21" s="9" t="inlineStr">
        <is>
          <t>Hide the calendar panel (Ctrl+B), 1–3 months, red marks on overdue days; Month tab for calendar only.</t>
        </is>
      </c>
      <c r="J21" s="15" t="inlineStr">
        <is>
          <t>—</t>
        </is>
      </c>
      <c r="K21" s="17" t="inlineStr">
        <is>
          <t>Done</t>
        </is>
      </c>
      <c r="L21" s="17" t="inlineStr">
        <is>
          <t>Implemented in 0.3.0</t>
        </is>
      </c>
    </row>
    <row r="22">
      <c r="A22" s="15" t="n">
        <v>18</v>
      </c>
      <c r="B22" s="9" t="inlineStr">
        <is>
          <t>Lists, views and display</t>
        </is>
      </c>
      <c r="C22" s="16" t="inlineStr">
        <is>
          <t>In ReminderFox 2.1.6</t>
        </is>
      </c>
      <c r="D22" s="9" t="inlineStr">
        <is>
          <t>Go to date</t>
        </is>
      </c>
      <c r="E22" s="9" t="inlineStr">
        <is>
          <t>Done in 0.3.0</t>
        </is>
      </c>
      <c r="F22" s="17" t="inlineStr">
        <is>
          <t>Easy</t>
        </is>
      </c>
      <c r="G22" s="10">
        <f>IFERROR(INDEX(Summary!$B$5:$B$11,MATCH(F22,Summary!$A$5:$A$11,0)),"")</f>
        <v/>
      </c>
      <c r="H22" s="10">
        <f>IFERROR(INDEX(Summary!$C$5:$C$11,MATCH(F22,Summary!$A$5:$A$11,0)),"")</f>
        <v/>
      </c>
      <c r="I22" s="9" t="inlineStr">
        <is>
          <t>Ctrl+G or "Go to…" under the calendar.</t>
        </is>
      </c>
      <c r="J22" s="15" t="inlineStr">
        <is>
          <t>—</t>
        </is>
      </c>
      <c r="K22" s="17" t="inlineStr">
        <is>
          <t>Done</t>
        </is>
      </c>
      <c r="L22" s="17" t="inlineStr">
        <is>
          <t>Implemented in 0.3.0</t>
        </is>
      </c>
    </row>
    <row r="23">
      <c r="A23" s="15" t="n">
        <v>19</v>
      </c>
      <c r="B23" s="9" t="inlineStr">
        <is>
          <t>Lists, views and display</t>
        </is>
      </c>
      <c r="C23" s="16" t="inlineStr">
        <is>
          <t>In ReminderFox 2.1.6</t>
        </is>
      </c>
      <c r="D23" s="9" t="inlineStr">
        <is>
          <t>Date format, "Today"/"Upcoming" labels, default text size</t>
        </is>
      </c>
      <c r="E23" s="9" t="inlineStr">
        <is>
          <t>Done in 0.3.0</t>
        </is>
      </c>
      <c r="F23" s="17" t="inlineStr">
        <is>
          <t>Easy</t>
        </is>
      </c>
      <c r="G23" s="10">
        <f>IFERROR(INDEX(Summary!$B$5:$B$11,MATCH(F23,Summary!$A$5:$A$11,0)),"")</f>
        <v/>
      </c>
      <c r="H23" s="10">
        <f>IFERROR(INDEX(Summary!$C$5:$C$11,MATCH(F23,Summary!$A$5:$A$11,0)),"")</f>
        <v/>
      </c>
      <c r="I23" s="9" t="inlineStr">
        <is>
          <t>Date formats, 12/24-hour, text size 90–150 %, tray tooltip labels with the add-on's variables.</t>
        </is>
      </c>
      <c r="J23" s="15" t="inlineStr">
        <is>
          <t>—</t>
        </is>
      </c>
      <c r="K23" s="17" t="inlineStr">
        <is>
          <t>Done</t>
        </is>
      </c>
      <c r="L23" s="17" t="inlineStr">
        <is>
          <t>Implemented in 0.3.0</t>
        </is>
      </c>
    </row>
    <row r="24">
      <c r="A24" s="15" t="n">
        <v>20</v>
      </c>
      <c r="B24" s="9" t="inlineStr">
        <is>
          <t>Lists, views and display</t>
        </is>
      </c>
      <c r="C24" s="16" t="inlineStr">
        <is>
          <t>In ReminderFox 2.1.6</t>
        </is>
      </c>
      <c r="D24" s="9" t="inlineStr">
        <is>
          <t>"Show map" button for a location</t>
        </is>
      </c>
      <c r="E24" s="9" t="inlineStr">
        <is>
          <t>Done in 0.3.0</t>
        </is>
      </c>
      <c r="F24" s="17" t="inlineStr">
        <is>
          <t>Easy</t>
        </is>
      </c>
      <c r="G24" s="10">
        <f>IFERROR(INDEX(Summary!$B$5:$B$11,MATCH(F24,Summary!$A$5:$A$11,0)),"")</f>
        <v/>
      </c>
      <c r="H24" s="10">
        <f>IFERROR(INDEX(Summary!$C$5:$C$11,MATCH(F24,Summary!$A$5:$A$11,0)),"")</f>
        <v/>
      </c>
      <c r="I24" s="9" t="inlineStr">
        <is>
          <t>Editor 🗺 and right-click; Google Maps, OpenStreetMap or Bing.</t>
        </is>
      </c>
      <c r="J24" s="15" t="inlineStr">
        <is>
          <t>—</t>
        </is>
      </c>
      <c r="K24" s="17" t="inlineStr">
        <is>
          <t>Done</t>
        </is>
      </c>
      <c r="L24" s="17" t="inlineStr">
        <is>
          <t>Implemented in 0.3.0</t>
        </is>
      </c>
    </row>
    <row r="25">
      <c r="A25" s="15" t="n">
        <v>21</v>
      </c>
      <c r="B25" s="9" t="inlineStr">
        <is>
          <t>Printing</t>
        </is>
      </c>
      <c r="C25" s="16" t="inlineStr">
        <is>
          <t>In ReminderFox 2.1.6</t>
        </is>
      </c>
      <c r="D25" s="9" t="inlineStr">
        <is>
          <t>Print / view all or selected events, or a daily Agenda, with editable templates; agenda can open at start-up</t>
        </is>
      </c>
      <c r="E25" s="9" t="inlineStr">
        <is>
          <t>None</t>
        </is>
      </c>
      <c r="F25" s="17" t="inlineStr">
        <is>
          <t>Medium</t>
        </is>
      </c>
      <c r="G25" s="10">
        <f>IFERROR(INDEX(Summary!$B$5:$B$11,MATCH(F25,Summary!$A$5:$A$11,0)),"")</f>
        <v/>
      </c>
      <c r="H25" s="10">
        <f>IFERROR(INDEX(Summary!$C$5:$C$11,MATCH(F25,Summary!$A$5:$A$11,0)),"")</f>
        <v/>
      </c>
      <c r="I25" s="9" t="inlineStr">
        <is>
          <t>Medium for built-in layouts (print or save as PDF); Hard if users can edit the templates.</t>
        </is>
      </c>
      <c r="J25" s="15" t="inlineStr">
        <is>
          <t>3</t>
        </is>
      </c>
      <c r="K25" s="17" t="inlineStr">
        <is>
          <t>Not started</t>
        </is>
      </c>
      <c r="L25" s="17" t="inlineStr"/>
    </row>
    <row r="26">
      <c r="A26" s="15" t="n">
        <v>22</v>
      </c>
      <c r="B26" s="9" t="inlineStr">
        <is>
          <t>Import, backup and sync</t>
        </is>
      </c>
      <c r="C26" s="16" t="inlineStr">
        <is>
          <t>In ReminderFox 2.1.6</t>
        </is>
      </c>
      <c r="D26" s="9" t="inlineStr">
        <is>
          <t>Back up now / restore from a backup in the app</t>
        </is>
      </c>
      <c r="E26" s="9" t="inlineStr">
        <is>
          <t>Done in 0.3.0</t>
        </is>
      </c>
      <c r="F26" s="17" t="inlineStr">
        <is>
          <t>Easy</t>
        </is>
      </c>
      <c r="G26" s="10">
        <f>IFERROR(INDEX(Summary!$B$5:$B$11,MATCH(F26,Summary!$A$5:$A$11,0)),"")</f>
        <v/>
      </c>
      <c r="H26" s="10">
        <f>IFERROR(INDEX(Summary!$C$5:$C$11,MATCH(F26,Summary!$A$5:$A$11,0)),"")</f>
        <v/>
      </c>
      <c r="I26" s="9" t="inlineStr">
        <is>
          <t>Back up now, save a copy, restore from any backup with a safety copy first (restore can be undone).</t>
        </is>
      </c>
      <c r="J26" s="15" t="inlineStr">
        <is>
          <t>—</t>
        </is>
      </c>
      <c r="K26" s="17" t="inlineStr">
        <is>
          <t>Done</t>
        </is>
      </c>
      <c r="L26" s="17" t="inlineStr">
        <is>
          <t>Implemented in 0.3.0</t>
        </is>
      </c>
    </row>
    <row r="27">
      <c r="A27" s="15" t="n">
        <v>23</v>
      </c>
      <c r="B27" s="9" t="inlineStr">
        <is>
          <t>Import, backup and sync</t>
        </is>
      </c>
      <c r="C27" s="16" t="inlineStr">
        <is>
          <t>In ReminderFox 2.1.6</t>
        </is>
      </c>
      <c r="D27" s="9" t="inlineStr">
        <is>
          <t>Import choices: overwrite or start a new calendar, give imported items a category, detect duplicates</t>
        </is>
      </c>
      <c r="E27" s="9" t="inlineStr">
        <is>
          <t>Done in 0.7.0</t>
        </is>
      </c>
      <c r="F27" s="17" t="inlineStr">
        <is>
          <t>Easy–Medium</t>
        </is>
      </c>
      <c r="G27" s="10">
        <f>IFERROR(INDEX(Summary!$B$5:$B$11,MATCH(F27,Summary!$A$5:$A$11,0)),"")</f>
        <v/>
      </c>
      <c r="H27" s="10">
        <f>IFERROR(INDEX(Summary!$C$5:$C$11,MATCH(F27,Summary!$A$5:$A$11,0)),"")</f>
        <v/>
      </c>
      <c r="I27" s="9" t="inlineStr">
        <is>
          <t>Every import opens a dialog showing what the file holds: Add to what I have or Replace everything (what you have is saved as a backup first, restorable from Settings → Data); skip items with the same title and date as one you have, or import them anyway; an optional category added to every imported item. Same-ID items still merge, the newer copy winning.</t>
        </is>
      </c>
      <c r="J27" s="15" t="inlineStr">
        <is>
          <t>—</t>
        </is>
      </c>
      <c r="K27" s="17" t="inlineStr">
        <is>
          <t>Done</t>
        </is>
      </c>
      <c r="L27" s="17" t="inlineStr">
        <is>
          <t>Implemented in 0.7.0</t>
        </is>
      </c>
    </row>
    <row r="28">
      <c r="A28" s="15" t="n">
        <v>24</v>
      </c>
      <c r="B28" s="9" t="inlineStr">
        <is>
          <t>Import, backup and sync</t>
        </is>
      </c>
      <c r="C28" s="16" t="inlineStr">
        <is>
          <t>In ReminderFox 2.1.6</t>
        </is>
      </c>
      <c r="D28" s="9" t="inlineStr">
        <is>
          <t>Subscribe to a calendar by URL (holidays, sports, etc.), read-only and refreshed regularly</t>
        </is>
      </c>
      <c r="E28" s="9" t="inlineStr">
        <is>
          <t>None</t>
        </is>
      </c>
      <c r="F28" s="17" t="inlineStr">
        <is>
          <t>Medium</t>
        </is>
      </c>
      <c r="G28" s="10">
        <f>IFERROR(INDEX(Summary!$B$5:$B$11,MATCH(F28,Summary!$A$5:$A$11,0)),"")</f>
        <v/>
      </c>
      <c r="H28" s="10">
        <f>IFERROR(INDEX(Summary!$C$5:$C$11,MATCH(F28,Summary!$A$5:$A$11,0)),"")</f>
        <v/>
      </c>
      <c r="I28" s="9" t="inlineStr"/>
      <c r="J28" s="15" t="inlineStr">
        <is>
          <t>3</t>
        </is>
      </c>
      <c r="K28" s="17" t="inlineStr">
        <is>
          <t>Not started</t>
        </is>
      </c>
      <c r="L28" s="17" t="inlineStr"/>
    </row>
    <row r="29">
      <c r="A29" s="15" t="n">
        <v>25</v>
      </c>
      <c r="B29" s="9" t="inlineStr">
        <is>
          <t>Import, backup and sync</t>
        </is>
      </c>
      <c r="C29" s="16" t="inlineStr">
        <is>
          <t>In ReminderFox 2.1.6</t>
        </is>
      </c>
      <c r="D29" s="9" t="inlineStr">
        <is>
          <t>Sync the file through an FTP or web server</t>
        </is>
      </c>
      <c r="E29" s="9" t="inlineStr">
        <is>
          <t>None</t>
        </is>
      </c>
      <c r="F29" s="17" t="inlineStr">
        <is>
          <t>Medium</t>
        </is>
      </c>
      <c r="G29" s="10">
        <f>IFERROR(INDEX(Summary!$B$5:$B$11,MATCH(F29,Summary!$A$5:$A$11,0)),"")</f>
        <v/>
      </c>
      <c r="H29" s="10">
        <f>IFERROR(INDEX(Summary!$C$5:$C$11,MATCH(F29,Summary!$A$5:$A$11,0)),"")</f>
        <v/>
      </c>
      <c r="I29" s="9" t="inlineStr">
        <is>
          <t>Web server (WebDAV) is easier than FTP; needs conflict handling.</t>
        </is>
      </c>
      <c r="J29" s="15" t="inlineStr">
        <is>
          <t>Later</t>
        </is>
      </c>
      <c r="K29" s="17" t="inlineStr">
        <is>
          <t>Not started</t>
        </is>
      </c>
      <c r="L29" s="17" t="inlineStr"/>
    </row>
    <row r="30">
      <c r="A30" s="15" t="n">
        <v>26</v>
      </c>
      <c r="B30" s="9" t="inlineStr">
        <is>
          <t>Import, backup and sync</t>
        </is>
      </c>
      <c r="C30" s="16" t="inlineStr">
        <is>
          <t>In ReminderFox 2.1.6</t>
        </is>
      </c>
      <c r="D30" s="9" t="inlineStr">
        <is>
          <t>CalDAV sync with servers like fruux, Nextcloud/ownCloud or Radicale, including per-account colours</t>
        </is>
      </c>
      <c r="E30" s="9" t="inlineStr">
        <is>
          <t>None</t>
        </is>
      </c>
      <c r="F30" s="17" t="inlineStr">
        <is>
          <t>Hard</t>
        </is>
      </c>
      <c r="G30" s="10">
        <f>IFERROR(INDEX(Summary!$B$5:$B$11,MATCH(F30,Summary!$A$5:$A$11,0)),"")</f>
        <v/>
      </c>
      <c r="H30" s="10">
        <f>IFERROR(INDEX(Summary!$C$5:$C$11,MATCH(F30,Summary!$A$5:$A$11,0)),"")</f>
        <v/>
      </c>
      <c r="I30" s="9" t="inlineStr">
        <is>
          <t>The biggest remaining gap for people who used the add-on with Nextcloud or fruux.</t>
        </is>
      </c>
      <c r="J30" s="15" t="inlineStr">
        <is>
          <t>4</t>
        </is>
      </c>
      <c r="K30" s="17" t="inlineStr">
        <is>
          <t>Not started</t>
        </is>
      </c>
      <c r="L30" s="17" t="inlineStr"/>
    </row>
    <row r="31">
      <c r="A31" s="15" t="n">
        <v>27</v>
      </c>
      <c r="B31" s="9" t="inlineStr">
        <is>
          <t>Import, backup and sync</t>
        </is>
      </c>
      <c r="C31" s="16" t="inlineStr">
        <is>
          <t>In ReminderFox 2.1.6</t>
        </is>
      </c>
      <c r="D31" s="9" t="inlineStr">
        <is>
          <t>Google Calendar and Google Tasks sync</t>
        </is>
      </c>
      <c r="E31" s="9" t="inlineStr">
        <is>
          <t>None</t>
        </is>
      </c>
      <c r="F31" s="17" t="inlineStr">
        <is>
          <t>Very hard</t>
        </is>
      </c>
      <c r="G31" s="10">
        <f>IFERROR(INDEX(Summary!$B$5:$B$11,MATCH(F31,Summary!$A$5:$A$11,0)),"")</f>
        <v/>
      </c>
      <c r="H31" s="10">
        <f>IFERROR(INDEX(Summary!$C$5:$C$11,MATCH(F31,Summary!$A$5:$A$11,0)),"")</f>
        <v/>
      </c>
      <c r="I31" s="9" t="inlineStr">
        <is>
          <t>OAuth plus Google's app-verification process; Tasks uses its own API.</t>
        </is>
      </c>
      <c r="J31" s="15" t="inlineStr">
        <is>
          <t>Later</t>
        </is>
      </c>
      <c r="K31" s="17" t="inlineStr">
        <is>
          <t>Not started</t>
        </is>
      </c>
      <c r="L31" s="17" t="inlineStr"/>
    </row>
    <row r="32">
      <c r="A32" s="15" t="n">
        <v>28</v>
      </c>
      <c r="B32" s="9" t="inlineStr">
        <is>
          <t>Email and browser integration (Firefox/Thunderbird only)</t>
        </is>
      </c>
      <c r="C32" s="16" t="inlineStr">
        <is>
          <t>In ReminderFox 2.1.6</t>
        </is>
      </c>
      <c r="D32" s="9" t="inlineStr">
        <is>
          <t>Send reminders or to-dos by email, and invitations with attendees and accept/decline</t>
        </is>
      </c>
      <c r="E32" s="9" t="inlineStr">
        <is>
          <t>Export to a file only</t>
        </is>
      </c>
      <c r="F32" s="17" t="inlineStr">
        <is>
          <t>Medium</t>
        </is>
      </c>
      <c r="G32" s="10">
        <f>IFERROR(INDEX(Summary!$B$5:$B$11,MATCH(F32,Summary!$A$5:$A$11,0)),"")</f>
        <v/>
      </c>
      <c r="H32" s="10">
        <f>IFERROR(INDEX(Summary!$C$5:$C$11,MATCH(F32,Summary!$A$5:$A$11,0)),"")</f>
        <v/>
      </c>
      <c r="I32" s="9" t="inlineStr">
        <is>
          <t>Medium to send an .ics by email; Hard for real invitations and replies.</t>
        </is>
      </c>
      <c r="J32" s="15" t="inlineStr">
        <is>
          <t>Later</t>
        </is>
      </c>
      <c r="K32" s="17" t="inlineStr">
        <is>
          <t>Not started</t>
        </is>
      </c>
      <c r="L32" s="17" t="inlineStr"/>
    </row>
    <row r="33">
      <c r="A33" s="15" t="n">
        <v>29</v>
      </c>
      <c r="B33" s="9" t="inlineStr">
        <is>
          <t>Email and browser integration (Firefox/Thunderbird only)</t>
        </is>
      </c>
      <c r="C33" s="16" t="inlineStr">
        <is>
          <t>In ReminderFox 2.1.6</t>
        </is>
      </c>
      <c r="D33" s="9" t="inlineStr">
        <is>
          <t>Reminder from an email, "Send++" (send a mail and create a follow-up), message tagging, address-book autocomplete</t>
        </is>
      </c>
      <c r="E33" s="9" t="inlineStr">
        <is>
          <t>None</t>
        </is>
      </c>
      <c r="F33" s="17" t="inlineStr">
        <is>
          <t>Not applicable</t>
        </is>
      </c>
      <c r="G33" s="10">
        <f>IFERROR(INDEX(Summary!$B$5:$B$11,MATCH(F33,Summary!$A$5:$A$11,0)),"")</f>
        <v/>
      </c>
      <c r="H33" s="10">
        <f>IFERROR(INDEX(Summary!$C$5:$C$11,MATCH(F33,Summary!$A$5:$A$11,0)),"")</f>
        <v/>
      </c>
      <c r="I33" s="9" t="inlineStr">
        <is>
          <t>Not practical in the app alone. The proposed Thunderbird add-on (see the "Thunderbird email scanning" rows) would cover creating reminders from email; Send++ and tagging would still need more work.</t>
        </is>
      </c>
      <c r="J33" s="15" t="inlineStr">
        <is>
          <t>—</t>
        </is>
      </c>
      <c r="K33" s="17" t="inlineStr">
        <is>
          <t>Not started</t>
        </is>
      </c>
      <c r="L33" s="17" t="inlineStr"/>
    </row>
    <row r="34">
      <c r="A34" s="15" t="n">
        <v>30</v>
      </c>
      <c r="B34" s="9" t="inlineStr">
        <is>
          <t>Email and browser integration (Firefox/Thunderbird only)</t>
        </is>
      </c>
      <c r="C34" s="16" t="inlineStr">
        <is>
          <t>In ReminderFox 2.1.6</t>
        </is>
      </c>
      <c r="D34" s="9" t="inlineStr">
        <is>
          <t>Birthday reminders from address-book contacts</t>
        </is>
      </c>
      <c r="E34" s="9" t="inlineStr">
        <is>
          <t>None</t>
        </is>
      </c>
      <c r="F34" s="17" t="inlineStr">
        <is>
          <t>Medium</t>
        </is>
      </c>
      <c r="G34" s="10">
        <f>IFERROR(INDEX(Summary!$B$5:$B$11,MATCH(F34,Summary!$A$5:$A$11,0)),"")</f>
        <v/>
      </c>
      <c r="H34" s="10">
        <f>IFERROR(INDEX(Summary!$C$5:$C$11,MATCH(F34,Summary!$A$5:$A$11,0)),"")</f>
        <v/>
      </c>
      <c r="I34" s="9" t="inlineStr">
        <is>
          <t>If imported from a vCard or CSV export.</t>
        </is>
      </c>
      <c r="J34" s="15" t="inlineStr">
        <is>
          <t>Later</t>
        </is>
      </c>
      <c r="K34" s="17" t="inlineStr">
        <is>
          <t>Not started</t>
        </is>
      </c>
      <c r="L34" s="17" t="inlineStr"/>
    </row>
    <row r="35">
      <c r="A35" s="15" t="n">
        <v>31</v>
      </c>
      <c r="B35" s="9" t="inlineStr">
        <is>
          <t>Email and browser integration (Firefox/Thunderbird only)</t>
        </is>
      </c>
      <c r="C35" s="16" t="inlineStr">
        <is>
          <t>In ReminderFox 2.1.6</t>
        </is>
      </c>
      <c r="D35" s="9" t="inlineStr">
        <is>
          <t>Right-click "Add reminder" on a web page or selected text; subscribe to an .ics link</t>
        </is>
      </c>
      <c r="E35" s="9" t="inlineStr">
        <is>
          <t>None</t>
        </is>
      </c>
      <c r="F35" s="17" t="inlineStr">
        <is>
          <t>Hard</t>
        </is>
      </c>
      <c r="G35" s="10">
        <f>IFERROR(INDEX(Summary!$B$5:$B$11,MATCH(F35,Summary!$A$5:$A$11,0)),"")</f>
        <v/>
      </c>
      <c r="H35" s="10">
        <f>IFERROR(INDEX(Summary!$C$5:$C$11,MATCH(F35,Summary!$A$5:$A$11,0)),"")</f>
        <v/>
      </c>
      <c r="I35" s="9" t="inlineStr">
        <is>
          <t>Needs a companion browser extension. An "Add from clipboard" button would be Easy.</t>
        </is>
      </c>
      <c r="J35" s="15" t="inlineStr">
        <is>
          <t>Later</t>
        </is>
      </c>
      <c r="K35" s="17" t="inlineStr">
        <is>
          <t>Not started</t>
        </is>
      </c>
      <c r="L35" s="17" t="inlineStr"/>
    </row>
    <row r="36">
      <c r="A36" s="15" t="n">
        <v>32</v>
      </c>
      <c r="B36" s="9" t="inlineStr">
        <is>
          <t>Thunderbird email scanning</t>
        </is>
      </c>
      <c r="C36" s="18" t="inlineStr">
        <is>
          <t>New (not in the add-on)</t>
        </is>
      </c>
      <c r="D36" s="9" t="inlineStr">
        <is>
          <t>Thunderbird add-on that passes each new email (sender, subject, date, body, attachments) to ReminderFoxAgain</t>
        </is>
      </c>
      <c r="E36" s="9" t="inlineStr">
        <is>
          <t>None</t>
        </is>
      </c>
      <c r="F36" s="17" t="inlineStr">
        <is>
          <t>Medium</t>
        </is>
      </c>
      <c r="G36" s="10">
        <f>IFERROR(INDEX(Summary!$B$5:$B$11,MATCH(F36,Summary!$A$5:$A$11,0)),"")</f>
        <v/>
      </c>
      <c r="H36" s="10">
        <f>IFERROR(INDEX(Summary!$C$5:$C$11,MATCH(F36,Summary!$A$5:$A$11,0)),"")</f>
        <v/>
      </c>
      <c r="I36" s="9" t="inlineStr">
        <is>
          <t>Uses Thunderbird's "native messaging" channel; the installer registers the app. Only sees mail while Thunderbird is running.</t>
        </is>
      </c>
      <c r="J36" s="15" t="inlineStr">
        <is>
          <t>Later</t>
        </is>
      </c>
      <c r="K36" s="17" t="inlineStr">
        <is>
          <t>Not started</t>
        </is>
      </c>
      <c r="L36" s="17" t="inlineStr"/>
    </row>
    <row r="37">
      <c r="A37" s="15" t="n">
        <v>33</v>
      </c>
      <c r="B37" s="9" t="inlineStr">
        <is>
          <t>Thunderbird email scanning</t>
        </is>
      </c>
      <c r="C37" s="18" t="inlineStr">
        <is>
          <t>New (not in the add-on)</t>
        </is>
      </c>
      <c r="D37" s="9" t="inlineStr">
        <is>
          <t>"From your email" suggestion list: Accept / Edit / Ignore; updates shown before-and-after; optional auto-accept for chosen senders</t>
        </is>
      </c>
      <c r="E37" s="9" t="inlineStr">
        <is>
          <t>None</t>
        </is>
      </c>
      <c r="F37" s="17" t="inlineStr">
        <is>
          <t>Medium</t>
        </is>
      </c>
      <c r="G37" s="10">
        <f>IFERROR(INDEX(Summary!$B$5:$B$11,MATCH(F37,Summary!$A$5:$A$11,0)),"")</f>
        <v/>
      </c>
      <c r="H37" s="10">
        <f>IFERROR(INDEX(Summary!$C$5:$C$11,MATCH(F37,Summary!$A$5:$A$11,0)),"")</f>
        <v/>
      </c>
      <c r="I37" s="9" t="inlineStr">
        <is>
          <t>The scanner only suggests; nothing is changed or deleted without you.</t>
        </is>
      </c>
      <c r="J37" s="15" t="inlineStr">
        <is>
          <t>Later</t>
        </is>
      </c>
      <c r="K37" s="17" t="inlineStr">
        <is>
          <t>Not started</t>
        </is>
      </c>
      <c r="L37" s="17" t="inlineStr"/>
    </row>
    <row r="38">
      <c r="A38" s="15" t="n">
        <v>34</v>
      </c>
      <c r="B38" s="9" t="inlineStr">
        <is>
          <t>Thunderbird email scanning</t>
        </is>
      </c>
      <c r="C38" s="18" t="inlineStr">
        <is>
          <t>New (not in the add-on)</t>
        </is>
      </c>
      <c r="D38" s="9" t="inlineStr">
        <is>
          <t>Link each reminder to its email, with an "Open email" button that jumps back to the message in Thunderbird</t>
        </is>
      </c>
      <c r="E38" s="9" t="inlineStr">
        <is>
          <t>None</t>
        </is>
      </c>
      <c r="F38" s="17" t="inlineStr">
        <is>
          <t>Easy</t>
        </is>
      </c>
      <c r="G38" s="10">
        <f>IFERROR(INDEX(Summary!$B$5:$B$11,MATCH(F38,Summary!$A$5:$A$11,0)),"")</f>
        <v/>
      </c>
      <c r="H38" s="10">
        <f>IFERROR(INDEX(Summary!$C$5:$C$11,MATCH(F38,Summary!$A$5:$A$11,0)),"")</f>
        <v/>
      </c>
      <c r="I38" s="9" t="inlineStr">
        <is>
          <t>ReminderFox's own X-REMINDERFOX-MESSAGEID property already holds this link.</t>
        </is>
      </c>
      <c r="J38" s="15" t="inlineStr">
        <is>
          <t>Later</t>
        </is>
      </c>
      <c r="K38" s="17" t="inlineStr">
        <is>
          <t>Not started</t>
        </is>
      </c>
      <c r="L38" s="17" t="inlineStr"/>
    </row>
    <row r="39">
      <c r="A39" s="15" t="n">
        <v>35</v>
      </c>
      <c r="B39" s="9" t="inlineStr">
        <is>
          <t>Thunderbird email scanning</t>
        </is>
      </c>
      <c r="C39" s="18" t="inlineStr">
        <is>
          <t>New (not in the add-on)</t>
        </is>
      </c>
      <c r="D39" s="9" t="inlineStr">
        <is>
          <t>Read calendar invitations (.ics): new invite creates, change updates, cancellation suggests deleting, matched by the invite's ID</t>
        </is>
      </c>
      <c r="E39" s="9" t="inlineStr">
        <is>
          <t>Manual import only</t>
        </is>
      </c>
      <c r="F39" s="17" t="inlineStr">
        <is>
          <t>Easy–Medium</t>
        </is>
      </c>
      <c r="G39" s="10">
        <f>IFERROR(INDEX(Summary!$B$5:$B$11,MATCH(F39,Summary!$A$5:$A$11,0)),"")</f>
        <v/>
      </c>
      <c r="H39" s="10">
        <f>IFERROR(INDEX(Summary!$C$5:$C$11,MATCH(F39,Summary!$A$5:$A$11,0)),"")</f>
        <v/>
      </c>
      <c r="I39" s="9" t="inlineStr">
        <is>
          <t>Exact, no guessing.</t>
        </is>
      </c>
      <c r="J39" s="15" t="inlineStr">
        <is>
          <t>Later</t>
        </is>
      </c>
      <c r="K39" s="17" t="inlineStr">
        <is>
          <t>Not started</t>
        </is>
      </c>
      <c r="L39" s="17" t="inlineStr"/>
    </row>
    <row r="40">
      <c r="A40" s="15" t="n">
        <v>36</v>
      </c>
      <c r="B40" s="9" t="inlineStr">
        <is>
          <t>Thunderbird email scanning</t>
        </is>
      </c>
      <c r="C40" s="18" t="inlineStr">
        <is>
          <t>New (not in the add-on)</t>
        </is>
      </c>
      <c r="D40" s="9" t="inlineStr">
        <is>
          <t>Read the structured data in airline, hotel, ticket and delivery emails</t>
        </is>
      </c>
      <c r="E40" s="9" t="inlineStr">
        <is>
          <t>None</t>
        </is>
      </c>
      <c r="F40" s="17" t="inlineStr">
        <is>
          <t>Easy–Medium</t>
        </is>
      </c>
      <c r="G40" s="10">
        <f>IFERROR(INDEX(Summary!$B$5:$B$11,MATCH(F40,Summary!$A$5:$A$11,0)),"")</f>
        <v/>
      </c>
      <c r="H40" s="10">
        <f>IFERROR(INDEX(Summary!$C$5:$C$11,MATCH(F40,Summary!$A$5:$A$11,0)),"")</f>
        <v/>
      </c>
      <c r="I40" s="9" t="inlineStr">
        <is>
          <t>Exact, no guessing.</t>
        </is>
      </c>
      <c r="J40" s="15" t="inlineStr">
        <is>
          <t>Later</t>
        </is>
      </c>
      <c r="K40" s="17" t="inlineStr">
        <is>
          <t>Not started</t>
        </is>
      </c>
      <c r="L40" s="17" t="inlineStr"/>
    </row>
    <row r="41">
      <c r="A41" s="15" t="n">
        <v>37</v>
      </c>
      <c r="B41" s="9" t="inlineStr">
        <is>
          <t>Thunderbird email scanning</t>
        </is>
      </c>
      <c r="C41" s="18" t="inlineStr">
        <is>
          <t>New (not in the add-on)</t>
        </is>
      </c>
      <c r="D41" s="9" t="inlineStr">
        <is>
          <t>Simple rules ("due date", "appointment on…") with natural-language date parsing, counted from the email's date</t>
        </is>
      </c>
      <c r="E41" s="9" t="inlineStr">
        <is>
          <t>None</t>
        </is>
      </c>
      <c r="F41" s="17" t="inlineStr">
        <is>
          <t>Medium</t>
        </is>
      </c>
      <c r="G41" s="10">
        <f>IFERROR(INDEX(Summary!$B$5:$B$11,MATCH(F41,Summary!$A$5:$A$11,0)),"")</f>
        <v/>
      </c>
      <c r="H41" s="10">
        <f>IFERROR(INDEX(Summary!$C$5:$C$11,MATCH(F41,Summary!$A$5:$A$11,0)),"")</f>
        <v/>
      </c>
      <c r="I41" s="9" t="inlineStr">
        <is>
          <t>Existing libraries turn "next Tuesday at 3" into a date.</t>
        </is>
      </c>
      <c r="J41" s="15" t="inlineStr">
        <is>
          <t>Later</t>
        </is>
      </c>
      <c r="K41" s="17" t="inlineStr">
        <is>
          <t>Not started</t>
        </is>
      </c>
      <c r="L41" s="17" t="inlineStr"/>
    </row>
    <row r="42">
      <c r="A42" s="15" t="n">
        <v>38</v>
      </c>
      <c r="B42" s="9" t="inlineStr">
        <is>
          <t>Thunderbird email scanning</t>
        </is>
      </c>
      <c r="C42" s="18" t="inlineStr">
        <is>
          <t>New (not in the add-on)</t>
        </is>
      </c>
      <c r="D42" s="9" t="inlineStr">
        <is>
          <t>Filters: skip newsletters (unsubscribe header), choose folders and senders, Inbox by default</t>
        </is>
      </c>
      <c r="E42" s="9" t="inlineStr">
        <is>
          <t>None</t>
        </is>
      </c>
      <c r="F42" s="17" t="inlineStr">
        <is>
          <t>Easy</t>
        </is>
      </c>
      <c r="G42" s="10">
        <f>IFERROR(INDEX(Summary!$B$5:$B$11,MATCH(F42,Summary!$A$5:$A$11,0)),"")</f>
        <v/>
      </c>
      <c r="H42" s="10">
        <f>IFERROR(INDEX(Summary!$C$5:$C$11,MATCH(F42,Summary!$A$5:$A$11,0)),"")</f>
        <v/>
      </c>
      <c r="I42" s="9" t="inlineStr">
        <is>
          <t>Keeps scanning fast and focused.</t>
        </is>
      </c>
      <c r="J42" s="15" t="inlineStr">
        <is>
          <t>Later</t>
        </is>
      </c>
      <c r="K42" s="17" t="inlineStr">
        <is>
          <t>Not started</t>
        </is>
      </c>
      <c r="L42" s="17" t="inlineStr"/>
    </row>
    <row r="43">
      <c r="A43" s="15" t="n">
        <v>39</v>
      </c>
      <c r="B43" s="9" t="inlineStr">
        <is>
          <t>Thunderbird email scanning</t>
        </is>
      </c>
      <c r="C43" s="18" t="inlineStr">
        <is>
          <t>New (not in the add-on)</t>
        </is>
      </c>
      <c r="D43" s="9" t="inlineStr">
        <is>
          <t>Optional local language model for free-form emails: decides if there's anything actionable, extracts title/date/time/place, new item vs update, reminder vs to-do</t>
        </is>
      </c>
      <c r="E43" s="9" t="inlineStr">
        <is>
          <t>None</t>
        </is>
      </c>
      <c r="F43" s="17" t="inlineStr">
        <is>
          <t>Medium–Hard</t>
        </is>
      </c>
      <c r="G43" s="10">
        <f>IFERROR(INDEX(Summary!$B$5:$B$11,MATCH(F43,Summary!$A$5:$A$11,0)),"")</f>
        <v/>
      </c>
      <c r="H43" s="10">
        <f>IFERROR(INDEX(Summary!$C$5:$C$11,MATCH(F43,Summary!$A$5:$A$11,0)),"")</f>
        <v/>
      </c>
      <c r="I43" s="9" t="inlineStr">
        <is>
          <t>Small model (about 1–4 billion parameters, 1–3 GB download) on the PC, built in or via Ollama; answers in a fixed format the app checks. Email never leaves the PC.</t>
        </is>
      </c>
      <c r="J43" s="15" t="inlineStr">
        <is>
          <t>Later</t>
        </is>
      </c>
      <c r="K43" s="17" t="inlineStr">
        <is>
          <t>Not started</t>
        </is>
      </c>
      <c r="L43" s="17" t="inlineStr"/>
    </row>
    <row r="44">
      <c r="A44" s="15" t="n">
        <v>40</v>
      </c>
      <c r="B44" s="9" t="inlineStr">
        <is>
          <t>Thunderbird email scanning</t>
        </is>
      </c>
      <c r="C44" s="18" t="inlineStr">
        <is>
          <t>New (not in the add-on)</t>
        </is>
      </c>
      <c r="D44" s="9" t="inlineStr">
        <is>
          <t>Test set of real emails to tune the rules and prompts and catch mistakes</t>
        </is>
      </c>
      <c r="E44" s="9" t="inlineStr">
        <is>
          <t>None</t>
        </is>
      </c>
      <c r="F44" s="17" t="inlineStr">
        <is>
          <t>Medium</t>
        </is>
      </c>
      <c r="G44" s="10">
        <f>IFERROR(INDEX(Summary!$B$5:$B$11,MATCH(F44,Summary!$A$5:$A$11,0)),"")</f>
        <v/>
      </c>
      <c r="H44" s="10">
        <f>IFERROR(INDEX(Summary!$C$5:$C$11,MATCH(F44,Summary!$A$5:$A$11,0)),"")</f>
        <v/>
      </c>
      <c r="I44" s="9" t="inlineStr">
        <is>
          <t>Guards against invented dates, time-zone mix-ups and misleading email text. Try the rules first, then add the model for what they miss.</t>
        </is>
      </c>
      <c r="J44" s="15" t="inlineStr">
        <is>
          <t>Later</t>
        </is>
      </c>
      <c r="K44" s="17" t="inlineStr">
        <is>
          <t>Not started</t>
        </is>
      </c>
      <c r="L44" s="17" t="inlineStr"/>
    </row>
    <row r="45">
      <c r="A45" s="15" t="n">
        <v>41</v>
      </c>
      <c r="B45" s="9" t="inlineStr">
        <is>
          <t>Requested additions</t>
        </is>
      </c>
      <c r="C45" s="18" t="inlineStr">
        <is>
          <t>New (not in the add-on)</t>
        </is>
      </c>
      <c r="D45" s="9" t="inlineStr">
        <is>
          <t>Archive: keep expired or no-longer-valid reminders and to-dos for reference, out of the lists; move them back and forth easily</t>
        </is>
      </c>
      <c r="E45" s="9" t="inlineStr">
        <is>
          <t>Done in 0.2.6</t>
        </is>
      </c>
      <c r="F45" s="17" t="inlineStr">
        <is>
          <t>Medium</t>
        </is>
      </c>
      <c r="G45" s="10">
        <f>IFERROR(INDEX(Summary!$B$5:$B$11,MATCH(F45,Summary!$A$5:$A$11,0)),"")</f>
        <v/>
      </c>
      <c r="H45" s="10">
        <f>IFERROR(INDEX(Summary!$C$5:$C$11,MATCH(F45,Summary!$A$5:$A$11,0)),"")</f>
        <v/>
      </c>
      <c r="I45" s="9" t="inlineStr">
        <is>
          <t>Added in 0.2.6 as a separate archive.ics with an Archive tab. Replaced in 0.6.0 by an ordinary list, "Terminated or Suspended": the Archive tab is gone, and anything left in an old archive moves onto that list on start (a backup of the archive is kept).</t>
        </is>
      </c>
      <c r="J45" s="15" t="inlineStr">
        <is>
          <t>—</t>
        </is>
      </c>
      <c r="K45" s="17" t="inlineStr">
        <is>
          <t>Done</t>
        </is>
      </c>
      <c r="L45" s="17" t="inlineStr">
        <is>
          <t>Implemented in 0.2.6</t>
        </is>
      </c>
    </row>
    <row r="46">
      <c r="A46" s="15" t="n">
        <v>42</v>
      </c>
      <c r="B46" s="9" t="inlineStr">
        <is>
          <t>Requested additions</t>
        </is>
      </c>
      <c r="C46" s="18" t="inlineStr">
        <is>
          <t>New (not in the add-on)</t>
        </is>
      </c>
      <c r="D46" s="9" t="inlineStr">
        <is>
          <t>Past reminders in the list: completed and uncompleted, repeating or one-time, as the calendar shows them</t>
        </is>
      </c>
      <c r="E46" s="9" t="inlineStr">
        <is>
          <t>Done in 0.3.1</t>
        </is>
      </c>
      <c r="F46" s="17" t="inlineStr">
        <is>
          <t>Easy–Medium</t>
        </is>
      </c>
      <c r="G46" s="10">
        <f>IFERROR(INDEX(Summary!$B$5:$B$11,MATCH(F46,Summary!$A$5:$A$11,0)),"")</f>
        <v/>
      </c>
      <c r="H46" s="10">
        <f>IFERROR(INDEX(Summary!$C$5:$C$11,MATCH(F46,Summary!$A$5:$A$11,0)),"")</f>
        <v/>
      </c>
      <c r="I46" s="9" t="inlineStr">
        <is>
          <t>Extends the add-on's "show N previous occurrences": All reminders and Past list every past occurrence, ticked or not; Settings → Lists sets how far back repeats go.</t>
        </is>
      </c>
      <c r="J46" s="15" t="inlineStr">
        <is>
          <t>—</t>
        </is>
      </c>
      <c r="K46" s="17" t="inlineStr">
        <is>
          <t>Done</t>
        </is>
      </c>
      <c r="L46" s="17" t="inlineStr">
        <is>
          <t>Implemented in 0.3.1</t>
        </is>
      </c>
    </row>
    <row r="47">
      <c r="A47" s="15" t="n">
        <v>43</v>
      </c>
      <c r="B47" s="9" t="inlineStr">
        <is>
          <t>Requested additions</t>
        </is>
      </c>
      <c r="C47" s="18" t="inlineStr">
        <is>
          <t>New (not in the add-on)</t>
        </is>
      </c>
      <c r="D47" s="9" t="inlineStr">
        <is>
          <t>Plan ahead: future repeating reminders projected from their repeat rules, in every list with future dates</t>
        </is>
      </c>
      <c r="E47" s="9" t="inlineStr">
        <is>
          <t>Done in 0.3.3</t>
        </is>
      </c>
      <c r="F47" s="17" t="inlineStr">
        <is>
          <t>Medium</t>
        </is>
      </c>
      <c r="G47" s="10">
        <f>IFERROR(INDEX(Summary!$B$5:$B$11,MATCH(F47,Summary!$A$5:$A$11,0)),"")</f>
        <v/>
      </c>
      <c r="H47" s="10">
        <f>IFERROR(INDEX(Summary!$C$5:$C$11,MATCH(F47,Summary!$A$5:$A$11,0)),"")</f>
        <v/>
      </c>
      <c r="I47" s="9" t="inlineStr">
        <is>
          <t>Extends the add-on's "show N upcoming occurrences": Upcoming (0.3.2), then All, Important, search and views (0.3.3); month headings count their reminders; how far ahead in Settings → Lists. The separate Plan ahead list was folded into Upcoming in 0.3.4.</t>
        </is>
      </c>
      <c r="J47" s="15" t="inlineStr">
        <is>
          <t>—</t>
        </is>
      </c>
      <c r="K47" s="17" t="inlineStr">
        <is>
          <t>Done</t>
        </is>
      </c>
      <c r="L47" s="17" t="inlineStr">
        <is>
          <t>Implemented in 0.3.3</t>
        </is>
      </c>
    </row>
    <row r="48">
      <c r="A48" s="15" t="n">
        <v>44</v>
      </c>
      <c r="B48" s="9" t="inlineStr">
        <is>
          <t>Requested additions</t>
        </is>
      </c>
      <c r="C48" s="16" t="inlineStr">
        <is>
          <t>In ReminderFox 2.1.6</t>
        </is>
      </c>
      <c r="D48" s="9" t="inlineStr">
        <is>
          <t>Import and Export in the Settings menu</t>
        </is>
      </c>
      <c r="E48" s="9" t="inlineStr">
        <is>
          <t>Done in 0.3.2</t>
        </is>
      </c>
      <c r="F48" s="17" t="inlineStr">
        <is>
          <t>Easy</t>
        </is>
      </c>
      <c r="G48" s="10">
        <f>IFERROR(INDEX(Summary!$B$5:$B$11,MATCH(F48,Summary!$A$5:$A$11,0)),"")</f>
        <v/>
      </c>
      <c r="H48" s="10">
        <f>IFERROR(INDEX(Summary!$C$5:$C$11,MATCH(F48,Summary!$A$5:$A$11,0)),"")</f>
        <v/>
      </c>
      <c r="I48" s="9" t="inlineStr">
        <is>
          <t>The add-on kept them under Options → Import/Export; 0.3.2 put them back in Settings → Data. Ctrl+I and Ctrl+E still work.</t>
        </is>
      </c>
      <c r="J48" s="15" t="inlineStr">
        <is>
          <t>—</t>
        </is>
      </c>
      <c r="K48" s="17" t="inlineStr">
        <is>
          <t>Done</t>
        </is>
      </c>
      <c r="L48" s="17" t="inlineStr">
        <is>
          <t>Implemented in 0.3.2</t>
        </is>
      </c>
    </row>
    <row r="49">
      <c r="A49" s="15" t="n">
        <v>45</v>
      </c>
      <c r="B49" s="9" t="inlineStr">
        <is>
          <t>Requested additions</t>
        </is>
      </c>
      <c r="C49" s="18" t="inlineStr">
        <is>
          <t>New (not in the add-on)</t>
        </is>
      </c>
      <c r="D49" s="9" t="inlineStr">
        <is>
          <t>To-dos with a "due by" date and their own reminders: a "remind me" start (days before, or a date), a time, and how often (once, daily, every 2 days, weekly, every 2 weeks, monthly) until done</t>
        </is>
      </c>
      <c r="E49" s="9" t="inlineStr">
        <is>
          <t>Done in 0.4.0</t>
        </is>
      </c>
      <c r="F49" s="17" t="inlineStr">
        <is>
          <t>Medium</t>
        </is>
      </c>
      <c r="G49" s="10">
        <f>IFERROR(INDEX(Summary!$B$5:$B$11,MATCH(F49,Summary!$A$5:$A$11,0)),"")</f>
        <v/>
      </c>
      <c r="H49" s="10">
        <f>IFERROR(INDEX(Summary!$C$5:$C$11,MATCH(F49,Summary!$A$5:$A$11,0)),"")</f>
        <v/>
      </c>
      <c r="I49" s="9" t="inlineStr">
        <is>
          <t>The add-on's to-dos had a single alarm. Stored as X-REMINDERFOXAGAIN-REMIND plus a standard alarm other apps understand; a one-time "before" reminder stays in the add-on's format (0.6.0).</t>
        </is>
      </c>
      <c r="J49" s="15" t="inlineStr">
        <is>
          <t>—</t>
        </is>
      </c>
      <c r="K49" s="17" t="inlineStr">
        <is>
          <t>Done</t>
        </is>
      </c>
      <c r="L49" s="17" t="inlineStr">
        <is>
          <t>Implemented in 0.4.0</t>
        </is>
      </c>
    </row>
    <row r="50">
      <c r="A50" s="15" t="n">
        <v>46</v>
      </c>
      <c r="B50" s="9" t="inlineStr">
        <is>
          <t>Requested additions</t>
        </is>
      </c>
      <c r="C50" s="18" t="inlineStr">
        <is>
          <t>New (not in the add-on)</t>
        </is>
      </c>
      <c r="D50" s="9" t="inlineStr">
        <is>
          <t>Lists picked from a dropdown that includes To-Do's; duplicate, move and copy items between lists; the add-on's list names come across on import</t>
        </is>
      </c>
      <c r="E50" s="9" t="inlineStr">
        <is>
          <t>Done in 0.6.0</t>
        </is>
      </c>
      <c r="F50" s="17" t="inlineStr">
        <is>
          <t>Easy–Medium</t>
        </is>
      </c>
      <c r="G50" s="10">
        <f>IFERROR(INDEX(Summary!$B$5:$B$11,MATCH(F50,Summary!$A$5:$A$11,0)),"")</f>
        <v/>
      </c>
      <c r="H50" s="10">
        <f>IFERROR(INDEX(Summary!$C$5:$C$11,MATCH(F50,Summary!$A$5:$A$11,0)),"")</f>
        <v/>
      </c>
      <c r="I50" s="9" t="inlineStr">
        <is>
          <t>The List dropdown is itself a tab (0.6.0); a Selected item row (Duplicate, Move to…, Copy to…, Delete), Ctrl+D; copies are exact (repeats, alarms, plan, notes); removing a list can delete its to-dos; the import reads the add-on profile's prefs.js (extensions.reminderFox.todoLists) so empty lists and their order come along.</t>
        </is>
      </c>
      <c r="J50" s="15" t="inlineStr">
        <is>
          <t>—</t>
        </is>
      </c>
      <c r="K50" s="17" t="inlineStr">
        <is>
          <t>Done</t>
        </is>
      </c>
      <c r="L50" s="17" t="inlineStr">
        <is>
          <t>Implemented in 0.6.0</t>
        </is>
      </c>
    </row>
    <row r="51">
      <c r="A51" s="15" t="n">
        <v>47</v>
      </c>
      <c r="B51" s="9" t="inlineStr">
        <is>
          <t>Requested additions</t>
        </is>
      </c>
      <c r="C51" s="18" t="inlineStr">
        <is>
          <t>New (not in the add-on)</t>
        </is>
      </c>
      <c r="D51" s="9" t="inlineStr">
        <is>
          <t>Turn a to-do into a reminder with an exact date once it's known</t>
        </is>
      </c>
      <c r="E51" s="9" t="inlineStr">
        <is>
          <t>Done in 0.4.0</t>
        </is>
      </c>
      <c r="F51" s="17" t="inlineStr">
        <is>
          <t>Easy–Medium</t>
        </is>
      </c>
      <c r="G51" s="10">
        <f>IFERROR(INDEX(Summary!$B$5:$B$11,MATCH(F51,Summary!$A$5:$A$11,0)),"")</f>
        <v/>
      </c>
      <c r="H51" s="10">
        <f>IFERROR(INDEX(Summary!$C$5:$C$11,MATCH(F51,Summary!$A$5:$A$11,0)),"")</f>
        <v/>
      </c>
      <c r="I51" s="9" t="inlineStr">
        <is>
          <t>"Schedule as a reminder…" in the editor and the right-click menu: date, time, alarm and repeat.</t>
        </is>
      </c>
      <c r="J51" s="15" t="inlineStr">
        <is>
          <t>—</t>
        </is>
      </c>
      <c r="K51" s="17" t="inlineStr">
        <is>
          <t>Done</t>
        </is>
      </c>
      <c r="L51" s="17" t="inlineStr">
        <is>
          <t>Implemented in 0.4.0</t>
        </is>
      </c>
    </row>
    <row r="52">
      <c r="A52" s="15" t="n">
        <v>48</v>
      </c>
      <c r="B52" s="9" t="inlineStr">
        <is>
          <t>Languages and platforms</t>
        </is>
      </c>
      <c r="C52" s="16" t="inlineStr">
        <is>
          <t>In ReminderFox 2.1.6</t>
        </is>
      </c>
      <c r="D52" s="9" t="inlineStr">
        <is>
          <t>35 languages</t>
        </is>
      </c>
      <c r="E52" s="9" t="inlineStr">
        <is>
          <t>Done in 0.7.0</t>
        </is>
      </c>
      <c r="F52" s="17" t="inlineStr">
        <is>
          <t>Medium</t>
        </is>
      </c>
      <c r="G52" s="10">
        <f>IFERROR(INDEX(Summary!$B$5:$B$11,MATCH(F52,Summary!$A$5:$A$11,0)),"")</f>
        <v/>
      </c>
      <c r="H52" s="10">
        <f>IFERROR(INDEX(Summary!$C$5:$C$11,MATCH(F52,Summary!$A$5:$A$11,0)),"")</f>
        <v/>
      </c>
      <c r="I52" s="9" t="inlineStr">
        <is>
          <t>The add-on's languages (English plus 33), following the Windows language by default, with a Language setting in Settings → Display; Arabic and Hebrew right to left; date pickers follow too. The translations were written for ReminderFoxAgain and have not yet been checked by native speakers.</t>
        </is>
      </c>
      <c r="J52" s="15" t="inlineStr">
        <is>
          <t>—</t>
        </is>
      </c>
      <c r="K52" s="17" t="inlineStr">
        <is>
          <t>Done</t>
        </is>
      </c>
      <c r="L52" s="17" t="inlineStr">
        <is>
          <t>Implemented in 0.7.0</t>
        </is>
      </c>
    </row>
    <row r="53">
      <c r="A53" s="15" t="n">
        <v>49</v>
      </c>
      <c r="B53" s="9" t="inlineStr">
        <is>
          <t>Languages and platforms</t>
        </is>
      </c>
      <c r="C53" s="16" t="inlineStr">
        <is>
          <t>In ReminderFox 2.1.6</t>
        </is>
      </c>
      <c r="D53" s="9" t="inlineStr">
        <is>
          <t>Windows, macOS and Linux (anywhere Firefox or Thunderbird ran)</t>
        </is>
      </c>
      <c r="E53" s="9" t="inlineStr">
        <is>
          <t>Done in 0.9.0</t>
        </is>
      </c>
      <c r="F53" s="17" t="inlineStr">
        <is>
          <t>Medium</t>
        </is>
      </c>
      <c r="G53" s="10">
        <f>IFERROR(INDEX(Summary!$B$5:$B$11,MATCH(F53,Summary!$A$5:$A$11,0)),"")</f>
        <v/>
      </c>
      <c r="H53" s="10">
        <f>IFERROR(INDEX(Summary!$C$5:$C$11,MATCH(F53,Summary!$A$5:$A$11,0)),"")</f>
        <v/>
      </c>
      <c r="I53" s="9" t="inlineStr">
        <is>
          <t>One source: a universal macOS app (ad-hoc signed, menu bar, ⌘ menus, Login Items) and Linux .deb and .tar.gz for x64 and arm64 (notifications, autostart, tray-less GNOME handled).</t>
        </is>
      </c>
      <c r="J53" s="15" t="inlineStr">
        <is>
          <t>—</t>
        </is>
      </c>
      <c r="K53" s="17" t="inlineStr">
        <is>
          <t>Done</t>
        </is>
      </c>
      <c r="L53" s="17" t="inlineStr">
        <is>
          <t>Implemented in 0.9.0</t>
        </is>
      </c>
    </row>
    <row r="54">
      <c r="A54" s="15" t="n">
        <v>50</v>
      </c>
      <c r="B54" s="9" t="inlineStr">
        <is>
          <t>Languages and platforms</t>
        </is>
      </c>
      <c r="C54" s="18" t="inlineStr">
        <is>
          <t>New (not in the add-on)</t>
        </is>
      </c>
      <c r="D54" s="9" t="inlineStr">
        <is>
          <t>Android and iOS apps</t>
        </is>
      </c>
      <c r="E54" s="9" t="inlineStr">
        <is>
          <t>None</t>
        </is>
      </c>
      <c r="F54" s="17" t="inlineStr">
        <is>
          <t>Hard</t>
        </is>
      </c>
      <c r="G54" s="10">
        <f>IFERROR(INDEX(Summary!$B$5:$B$11,MATCH(F54,Summary!$A$5:$A$11,0)),"")</f>
        <v/>
      </c>
      <c r="H54" s="10">
        <f>IFERROR(INDEX(Summary!$C$5:$C$11,MATCH(F54,Summary!$A$5:$A$11,0)),"")</f>
        <v/>
      </c>
      <c r="I54" s="9" t="inlineStr">
        <is>
          <t>A Capacitor app sharing the UI and data code; alarms become scheduled notifications, with a phone layout. Specified in the 0.6.0 build prompt pack; needs a phone and, for iOS, a Mac to finish.</t>
        </is>
      </c>
      <c r="J54" s="15" t="inlineStr">
        <is>
          <t>Later</t>
        </is>
      </c>
      <c r="K54" s="17" t="inlineStr">
        <is>
          <t>Planned</t>
        </is>
      </c>
      <c r="L54" s="17" t="inlineStr"/>
    </row>
    <row r="55">
      <c r="A55" s="15" t="n">
        <v>51</v>
      </c>
      <c r="B55" s="9" t="inlineStr">
        <is>
          <t>Requested in 0.8.0</t>
        </is>
      </c>
      <c r="C55" s="18" t="inlineStr">
        <is>
          <t>New (not in the add-on)</t>
        </is>
      </c>
      <c r="D55" s="9" t="inlineStr">
        <is>
          <t>Show completed checkbox in the Reminders and Month views, as the lists have</t>
        </is>
      </c>
      <c r="E55" s="9" t="inlineStr">
        <is>
          <t>Done in 0.8.0</t>
        </is>
      </c>
      <c r="F55" s="17" t="inlineStr">
        <is>
          <t>Easy</t>
        </is>
      </c>
      <c r="G55" s="10">
        <f>IFERROR(INDEX(Summary!$B$5:$B$11,MATCH(F55,Summary!$A$5:$A$11,0)),"")</f>
        <v/>
      </c>
      <c r="H55" s="10">
        <f>IFERROR(INDEX(Summary!$C$5:$C$11,MATCH(F55,Summary!$A$5:$A$11,0)),"")</f>
        <v/>
      </c>
      <c r="I55" s="9" t="inlineStr">
        <is>
          <t>Reminders: ticked at first, applies to every Show choice and search (replaces Settings → Lists → Hide completed reminders). Month: ticking it shows ticked reminders and completed list items (ticked at every start since 0.8.1).</t>
        </is>
      </c>
      <c r="J55" s="15" t="inlineStr">
        <is>
          <t>—</t>
        </is>
      </c>
      <c r="K55" s="17" t="inlineStr">
        <is>
          <t>Done</t>
        </is>
      </c>
      <c r="L55" s="17" t="inlineStr">
        <is>
          <t>Implemented in 0.8.0</t>
        </is>
      </c>
    </row>
    <row r="56">
      <c r="A56" s="15" t="n">
        <v>52</v>
      </c>
      <c r="B56" s="9" t="inlineStr">
        <is>
          <t>Requested in 0.8.0</t>
        </is>
      </c>
      <c r="C56" s="18" t="inlineStr">
        <is>
          <t>New (not in the add-on)</t>
        </is>
      </c>
      <c r="D56" s="9" t="inlineStr">
        <is>
          <t>Choose which columns the Reminders tab and the lists show</t>
        </is>
      </c>
      <c r="E56" s="9" t="inlineStr">
        <is>
          <t>Done in 0.8.0</t>
        </is>
      </c>
      <c r="F56" s="17" t="inlineStr">
        <is>
          <t>Easy</t>
        </is>
      </c>
      <c r="G56" s="10">
        <f>IFERROR(INDEX(Summary!$B$5:$B$11,MATCH(F56,Summary!$A$5:$A$11,0)),"")</f>
        <v/>
      </c>
      <c r="H56" s="10">
        <f>IFERROR(INDEX(Summary!$C$5:$C$11,MATCH(F56,Summary!$A$5:$A$11,0)),"")</f>
        <v/>
      </c>
      <c r="I56" s="9" t="inlineStr">
        <is>
          <t>Settings → Display → Columns: a tick per column for each; the description always shows.</t>
        </is>
      </c>
      <c r="J56" s="15" t="inlineStr">
        <is>
          <t>—</t>
        </is>
      </c>
      <c r="K56" s="17" t="inlineStr">
        <is>
          <t>Done</t>
        </is>
      </c>
      <c r="L56" s="17" t="inlineStr">
        <is>
          <t>Implemented in 0.8.0</t>
        </is>
      </c>
    </row>
    <row r="57">
      <c r="A57" s="15" t="n">
        <v>53</v>
      </c>
      <c r="B57" s="9" t="inlineStr">
        <is>
          <t>Requested in 0.8.0</t>
        </is>
      </c>
      <c r="C57" s="18" t="inlineStr">
        <is>
          <t>New (not in the add-on)</t>
        </is>
      </c>
      <c r="D57" s="9" t="inlineStr">
        <is>
          <t>Settings → Lists renamed View; Manage views… renamed Manage reminders… and listed first; the dialogs speak of saved filters</t>
        </is>
      </c>
      <c r="E57" s="9" t="inlineStr">
        <is>
          <t>Done in 0.8.0</t>
        </is>
      </c>
      <c r="F57" s="17" t="inlineStr">
        <is>
          <t>Easy</t>
        </is>
      </c>
      <c r="G57" s="10">
        <f>IFERROR(INDEX(Summary!$B$5:$B$11,MATCH(F57,Summary!$A$5:$A$11,0)),"")</f>
        <v/>
      </c>
      <c r="H57" s="10">
        <f>IFERROR(INDEX(Summary!$C$5:$C$11,MATCH(F57,Summary!$A$5:$A$11,0)),"")</f>
        <v/>
      </c>
      <c r="I57" s="9" t="inlineStr">
        <is>
          <t>Also the Show list (“Saved filters”, “Manage reminders…”) and the hint (“Saved filter ‘Birthdays’ · 3 reminders”).</t>
        </is>
      </c>
      <c r="J57" s="15" t="inlineStr">
        <is>
          <t>—</t>
        </is>
      </c>
      <c r="K57" s="17" t="inlineStr">
        <is>
          <t>Done</t>
        </is>
      </c>
      <c r="L57" s="17" t="inlineStr">
        <is>
          <t>Implemented in 0.8.0</t>
        </is>
      </c>
    </row>
    <row r="58">
      <c r="A58" s="15" t="n">
        <v>54</v>
      </c>
      <c r="B58" s="9" t="inlineStr">
        <is>
          <t>Requested in 0.8.0</t>
        </is>
      </c>
      <c r="C58" s="18" t="inlineStr">
        <is>
          <t>New (not in the add-on)</t>
        </is>
      </c>
      <c r="D58" s="9" t="inlineStr">
        <is>
          <t>Four more alarm sounds</t>
        </is>
      </c>
      <c r="E58" s="9" t="inlineStr">
        <is>
          <t>Done in 0.8.0</t>
        </is>
      </c>
      <c r="F58" s="17" t="inlineStr">
        <is>
          <t>Easy</t>
        </is>
      </c>
      <c r="G58" s="10">
        <f>IFERROR(INDEX(Summary!$B$5:$B$11,MATCH(F58,Summary!$A$5:$A$11,0)),"")</f>
        <v/>
      </c>
      <c r="H58" s="10">
        <f>IFERROR(INDEX(Summary!$C$5:$C$11,MATCH(F58,Summary!$A$5:$A$11,0)),"")</f>
        <v/>
      </c>
      <c r="I58" s="9" t="inlineStr">
        <is>
          <t>Bell, Marimba, Digital beeps and Alarm clock beside the Chime and your own file; drawn with Web Audio, also written as .wav/.caf for the mobile builds.</t>
        </is>
      </c>
      <c r="J58" s="15" t="inlineStr">
        <is>
          <t>—</t>
        </is>
      </c>
      <c r="K58" s="17" t="inlineStr">
        <is>
          <t>Done</t>
        </is>
      </c>
      <c r="L58" s="17" t="inlineStr">
        <is>
          <t>Implemented in 0.8.0</t>
        </is>
      </c>
    </row>
    <row r="59">
      <c r="A59" s="15" t="n">
        <v>55</v>
      </c>
      <c r="B59" s="9" t="inlineStr">
        <is>
          <t>Requested in 0.8.0</t>
        </is>
      </c>
      <c r="C59" s="18" t="inlineStr">
        <is>
          <t>New (not in the add-on)</t>
        </is>
      </c>
      <c r="D59" s="9" t="inlineStr">
        <is>
          <t>Repeat the alarm sound continuously until the alarm is cleared</t>
        </is>
      </c>
      <c r="E59" s="9" t="inlineStr">
        <is>
          <t>Done in 0.8.0</t>
        </is>
      </c>
      <c r="F59" s="17" t="inlineStr">
        <is>
          <t>Easy</t>
        </is>
      </c>
      <c r="G59" s="10">
        <f>IFERROR(INDEX(Summary!$B$5:$B$11,MATCH(F59,Summary!$A$5:$A$11,0)),"")</f>
        <v/>
      </c>
      <c r="H59" s="10">
        <f>IFERROR(INDEX(Summary!$C$5:$C$11,MATCH(F59,Summary!$A$5:$A$11,0)),"")</f>
        <v/>
      </c>
      <c r="I59" s="9" t="inlineStr">
        <is>
          <t>“Continuously until cleared”: plays again and again until Snooze, Open, Done or Dismiss (or hiding the alarm window); the next alarm starts it again.</t>
        </is>
      </c>
      <c r="J59" s="15" t="inlineStr">
        <is>
          <t>—</t>
        </is>
      </c>
      <c r="K59" s="17" t="inlineStr">
        <is>
          <t>Done</t>
        </is>
      </c>
      <c r="L59" s="17" t="inlineStr">
        <is>
          <t>Implemented in 0.8.0</t>
        </is>
      </c>
    </row>
    <row r="60">
      <c r="A60" s="15" t="n">
        <v>56</v>
      </c>
      <c r="B60" s="9" t="inlineStr">
        <is>
          <t>Requested in 0.8.0</t>
        </is>
      </c>
      <c r="C60" s="18" t="inlineStr">
        <is>
          <t>New (not in the add-on)</t>
        </is>
      </c>
      <c r="D60" s="9" t="inlineStr">
        <is>
          <t>Order the lists by any column, with Order before Show completed</t>
        </is>
      </c>
      <c r="E60" s="9" t="inlineStr">
        <is>
          <t>Done in 0.8.0</t>
        </is>
      </c>
      <c r="F60" s="17" t="inlineStr">
        <is>
          <t>Easy</t>
        </is>
      </c>
      <c r="G60" s="10">
        <f>IFERROR(INDEX(Summary!$B$5:$B$11,MATCH(F60,Summary!$A$5:$A$11,0)),"")</f>
        <v/>
      </c>
      <c r="H60" s="10">
        <f>IFERROR(INDEX(Summary!$C$5:$C$11,MATCH(F60,Summary!$A$5:$A$11,0)),"")</f>
        <v/>
      </c>
      <c r="I60" s="9" t="inlineStr">
        <is>
          <t>My order, Due by, Time, Description, Important, Completed, Repeat, Category, Alarm.</t>
        </is>
      </c>
      <c r="J60" s="15" t="inlineStr">
        <is>
          <t>—</t>
        </is>
      </c>
      <c r="K60" s="17" t="inlineStr">
        <is>
          <t>Done</t>
        </is>
      </c>
      <c r="L60" s="17" t="inlineStr">
        <is>
          <t>Implemented in 0.8.0</t>
        </is>
      </c>
    </row>
    <row r="61">
      <c r="A61" s="15" t="n">
        <v>57</v>
      </c>
      <c r="B61" s="9" t="inlineStr">
        <is>
          <t>Requested in 0.8.1</t>
        </is>
      </c>
      <c r="C61" s="18" t="inlineStr">
        <is>
          <t>New (not in the add-on)</t>
        </is>
      </c>
      <c r="D61" s="9" t="inlineStr">
        <is>
          <t>The Month view's Show completed ticked at every start</t>
        </is>
      </c>
      <c r="E61" s="9" t="inlineStr">
        <is>
          <t>Done in 0.8.1</t>
        </is>
      </c>
      <c r="F61" s="17" t="inlineStr">
        <is>
          <t>Easy</t>
        </is>
      </c>
      <c r="G61" s="10">
        <f>IFERROR(INDEX(Summary!$B$5:$B$11,MATCH(F61,Summary!$A$5:$A$11,0)),"")</f>
        <v/>
      </c>
      <c r="H61" s="10">
        <f>IFERROR(INDEX(Summary!$C$5:$C$11,MATCH(F61,Summary!$A$5:$A$11,0)),"")</f>
        <v/>
      </c>
      <c r="I61" s="9" t="inlineStr">
        <is>
          <t>Unticking it lasts until the app is closed.</t>
        </is>
      </c>
      <c r="J61" s="15" t="inlineStr">
        <is>
          <t>—</t>
        </is>
      </c>
      <c r="K61" s="17" t="inlineStr">
        <is>
          <t>Done</t>
        </is>
      </c>
      <c r="L61" s="17" t="inlineStr">
        <is>
          <t>Implemented in 0.8.1</t>
        </is>
      </c>
    </row>
    <row r="62">
      <c r="A62" s="15" t="n">
        <v>58</v>
      </c>
      <c r="B62" s="9" t="inlineStr">
        <is>
          <t>Requested in 0.8.1</t>
        </is>
      </c>
      <c r="C62" s="18" t="inlineStr">
        <is>
          <t>New (not in the add-on)</t>
        </is>
      </c>
      <c r="D62" s="9" t="inlineStr">
        <is>
          <t>Show completed keeps your place in the list instead of jumping by months</t>
        </is>
      </c>
      <c r="E62" s="9" t="inlineStr">
        <is>
          <t>Done in 0.8.1</t>
        </is>
      </c>
      <c r="F62" s="17" t="inlineStr">
        <is>
          <t>Easy</t>
        </is>
      </c>
      <c r="G62" s="10">
        <f>IFERROR(INDEX(Summary!$B$5:$B$11,MATCH(F62,Summary!$A$5:$A$11,0)),"")</f>
        <v/>
      </c>
      <c r="H62" s="10">
        <f>IFERROR(INDEX(Summary!$C$5:$C$11,MATCH(F62,Summary!$A$5:$A$11,0)),"")</f>
        <v/>
      </c>
      <c r="I62" s="9" t="inlineStr">
        <is>
          <t>The row at the top stays at the top (or the next one shown, if it was hidden), in the Reminders tab and the lists.</t>
        </is>
      </c>
      <c r="J62" s="15" t="inlineStr">
        <is>
          <t>—</t>
        </is>
      </c>
      <c r="K62" s="17" t="inlineStr">
        <is>
          <t>Done</t>
        </is>
      </c>
      <c r="L62" s="17" t="inlineStr">
        <is>
          <t>Implemented in 0.8.1</t>
        </is>
      </c>
    </row>
    <row r="63">
      <c r="A63" s="15" t="n">
        <v>59</v>
      </c>
      <c r="B63" s="9" t="inlineStr">
        <is>
          <t>Requested in 0.8.1</t>
        </is>
      </c>
      <c r="C63" s="18" t="inlineStr">
        <is>
          <t>New (not in the add-on)</t>
        </is>
      </c>
      <c r="D63" s="9" t="inlineStr">
        <is>
          <t>A day clicked in the mini calendar starts the Reminders list there</t>
        </is>
      </c>
      <c r="E63" s="9" t="inlineStr">
        <is>
          <t>Done in 0.8.1</t>
        </is>
      </c>
      <c r="F63" s="17" t="inlineStr">
        <is>
          <t>Easy</t>
        </is>
      </c>
      <c r="G63" s="10">
        <f>IFERROR(INDEX(Summary!$B$5:$B$11,MATCH(F63,Summary!$A$5:$A$11,0)),"")</f>
        <v/>
      </c>
      <c r="H63" s="10">
        <f>IFERROR(INDEX(Summary!$C$5:$C$11,MATCH(F63,Summary!$A$5:$A$11,0)),"")</f>
        <v/>
      </c>
      <c r="I63" s="9" t="inlineStr">
        <is>
          <t>Within what the Show choice lists; a day after the last row shows the end. Selected day and month work as before.</t>
        </is>
      </c>
      <c r="J63" s="15" t="inlineStr">
        <is>
          <t>—</t>
        </is>
      </c>
      <c r="K63" s="17" t="inlineStr">
        <is>
          <t>Done</t>
        </is>
      </c>
      <c r="L63" s="17" t="inlineStr">
        <is>
          <t>Implemented in 0.8.1</t>
        </is>
      </c>
    </row>
    <row r="64">
      <c r="A64" s="15" t="n">
        <v>60</v>
      </c>
      <c r="B64" s="9" t="inlineStr">
        <is>
          <t>Requested in 0.8.1</t>
        </is>
      </c>
      <c r="C64" s="18" t="inlineStr">
        <is>
          <t>New (not in the add-on)</t>
        </is>
      </c>
      <c r="D64" s="9" t="inlineStr">
        <is>
          <t>Custom themes</t>
        </is>
      </c>
      <c r="E64" s="9" t="inlineStr">
        <is>
          <t>Done in 0.8.1</t>
        </is>
      </c>
      <c r="F64" s="17" t="inlineStr">
        <is>
          <t>Easy–Medium</t>
        </is>
      </c>
      <c r="G64" s="10">
        <f>IFERROR(INDEX(Summary!$B$5:$B$11,MATCH(F64,Summary!$A$5:$A$11,0)),"")</f>
        <v/>
      </c>
      <c r="H64" s="10">
        <f>IFERROR(INDEX(Summary!$C$5:$C$11,MATCH(F64,Summary!$A$5:$A$11,0)),"")</f>
        <v/>
      </c>
      <c r="I64" s="9" t="inlineStr">
        <is>
          <t>Five colours (background, lists and panels, text, accent, starred); the rest is worked out, with a live preview and contrast warnings. Edit and delete in Settings → General.</t>
        </is>
      </c>
      <c r="J64" s="15" t="inlineStr">
        <is>
          <t>—</t>
        </is>
      </c>
      <c r="K64" s="17" t="inlineStr">
        <is>
          <t>Done</t>
        </is>
      </c>
      <c r="L64" s="17" t="inlineStr">
        <is>
          <t>Implemented in 0.8.1</t>
        </is>
      </c>
    </row>
    <row r="65">
      <c r="A65" s="15" t="n">
        <v>61</v>
      </c>
      <c r="B65" s="9" t="inlineStr">
        <is>
          <t>Requested in 0.9.1</t>
        </is>
      </c>
      <c r="C65" s="18" t="inlineStr">
        <is>
          <t>New (not in the add-on)</t>
        </is>
      </c>
      <c r="D65" s="9" t="inlineStr">
        <is>
          <t>Import .ics files whose dates other programs write their own way</t>
        </is>
      </c>
      <c r="E65" s="9" t="inlineStr">
        <is>
          <t>Done in 0.9.1</t>
        </is>
      </c>
      <c r="F65" s="17" t="inlineStr">
        <is>
          <t>Easy</t>
        </is>
      </c>
      <c r="G65" s="10">
        <f>IFERROR(INDEX(Summary!$B$5:$B$11,MATCH(F65,Summary!$A$5:$A$11,0)),"")</f>
        <v/>
      </c>
      <c r="H65" s="10">
        <f>IFERROR(INDEX(Summary!$C$5:$C$11,MATCH(F65,Summary!$A$5:$A$11,0)),"")</f>
        <v/>
      </c>
      <c r="I65" s="9" t="inlineStr">
        <is>
          <t>"Tue Oct 20 2026 10:00:00 GMT-0400", e-mail dates and 2026-10-20 are read and saved the iCalendar way; an unreadable date is left out instead of stopping the import ("Could not extract integer from "Tue "").</t>
        </is>
      </c>
      <c r="J65" s="15" t="inlineStr">
        <is>
          <t>—</t>
        </is>
      </c>
      <c r="K65" s="17" t="inlineStr">
        <is>
          <t>Done</t>
        </is>
      </c>
      <c r="L65" s="17" t="inlineStr">
        <is>
          <t>Implemented in 0.9.1</t>
        </is>
      </c>
    </row>
  </sheetData>
  <autoFilter ref="A4:L65"/>
  <conditionalFormatting sqref="F5:F65">
    <cfRule type="cellIs" priority="1" operator="equal" dxfId="0">
      <formula>"Easy"</formula>
    </cfRule>
    <cfRule type="cellIs" priority="2" operator="equal" dxfId="1">
      <formula>"Easy–Medium"</formula>
    </cfRule>
    <cfRule type="cellIs" priority="3" operator="equal" dxfId="2">
      <formula>"Medium"</formula>
    </cfRule>
    <cfRule type="cellIs" priority="4" operator="equal" dxfId="3">
      <formula>"Medium–Hard"</formula>
    </cfRule>
    <cfRule type="cellIs" priority="5" operator="equal" dxfId="4">
      <formula>"Hard"</formula>
    </cfRule>
    <cfRule type="cellIs" priority="6" operator="equal" dxfId="5">
      <formula>"Very hard"</formula>
    </cfRule>
    <cfRule type="cellIs" priority="7" operator="equal" dxfId="6">
      <formula>"Not applicable"</formula>
    </cfRule>
  </conditionalFormatting>
  <conditionalFormatting sqref="A5:L65">
    <cfRule type="expression" priority="8" dxfId="7">
      <formula>$K5="Done"</formula>
    </cfRule>
  </conditionalFormatting>
  <dataValidations count="4">
    <dataValidation sqref="F5:F65" showDropDown="0" showInputMessage="0" showErrorMessage="0" allowBlank="1" type="list">
      <formula1>"Easy,Easy–Medium,Medium,Medium–Hard,Hard,Very hard,Not applicable"</formula1>
    </dataValidation>
    <dataValidation sqref="K5:K65" showDropDown="0" showInputMessage="0" showErrorMessage="0" allowBlank="1" type="list">
      <formula1>"Not started,Planned,In progress,Done,Won't do"</formula1>
    </dataValidation>
    <dataValidation sqref="J5:J65" showDropDown="0" showInputMessage="0" showErrorMessage="0" allowBlank="1" type="list">
      <formula1>"1,2,3,4,Later,—"</formula1>
    </dataValidation>
    <dataValidation sqref="C5:C65" showDropDown="0" showInputMessage="0" showErrorMessage="0" allowBlank="0" type="list">
      <formula1>"In ReminderFox 2.1.6,New (not in the add-on)"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90" customWidth="1" min="3" max="3"/>
  </cols>
  <sheetData>
    <row r="1">
      <c r="A1" s="1" t="inlineStr">
        <is>
          <t>What ReminderFoxAgain 0.9.1 adds alongside ReminderFox's features</t>
        </is>
      </c>
    </row>
    <row r="3">
      <c r="A3" s="19" t="inlineStr">
        <is>
          <t>#</t>
        </is>
      </c>
      <c r="B3" s="19" t="inlineStr">
        <is>
          <t>Area</t>
        </is>
      </c>
      <c r="C3" s="19" t="inlineStr">
        <is>
          <t>Feature</t>
        </is>
      </c>
    </row>
    <row r="4">
      <c r="A4" s="9" t="n">
        <v>1</v>
      </c>
      <c r="B4" s="9" t="inlineStr">
        <is>
          <t>Independence</t>
        </is>
      </c>
      <c r="C4" s="9" t="inlineStr">
        <is>
          <t>Runs on its own as a desktop app, carrying ReminderFox's ideas forward outside the browser.</t>
        </is>
      </c>
    </row>
    <row r="5">
      <c r="A5" s="9" t="n">
        <v>2</v>
      </c>
      <c r="B5" s="9" t="inlineStr">
        <is>
          <t>Calendar standards</t>
        </is>
      </c>
      <c r="C5" s="9" t="inlineStr">
        <is>
          <t>Proper time-zone handling; items from Google or Outlook keep any data the app doesn't understand.</t>
        </is>
      </c>
    </row>
    <row r="6">
      <c r="A6" s="9" t="n">
        <v>3</v>
      </c>
      <c r="B6" s="9" t="inlineStr">
        <is>
          <t>Completion history</t>
        </is>
      </c>
      <c r="C6" s="9" t="inlineStr">
        <is>
          <t>Ticking one occurrence of a repeating reminder records when you did it.</t>
        </is>
      </c>
    </row>
    <row r="7">
      <c r="A7" s="9" t="n">
        <v>4</v>
      </c>
      <c r="B7" s="9" t="inlineStr">
        <is>
          <t>Data safety</t>
        </is>
      </c>
      <c r="C7" s="9" t="inlineStr">
        <is>
          <t>Automatic daily backups; an unreadable file is never overwritten.</t>
        </is>
      </c>
    </row>
    <row r="8">
      <c r="A8" s="9" t="n">
        <v>5</v>
      </c>
      <c r="B8" s="9" t="inlineStr">
        <is>
          <t>Display</t>
        </is>
      </c>
      <c r="C8" s="9" t="inlineStr">
        <is>
          <t>Month grid, six themes (incl. high contrast), starred items in their own colour.</t>
        </is>
      </c>
    </row>
    <row r="9">
      <c r="A9" s="9" t="n">
        <v>6</v>
      </c>
      <c r="B9" s="9" t="inlineStr">
        <is>
          <t>To-dos</t>
        </is>
      </c>
      <c r="C9" s="9" t="inlineStr">
        <is>
          <t>A due-by date with repeating "remind me" reminders until it's done, and one step to turn it into a dated reminder.</t>
        </is>
      </c>
    </row>
    <row r="10">
      <c r="A10" s="9" t="n">
        <v>7</v>
      </c>
      <c r="B10" s="9" t="inlineStr">
        <is>
          <t>Planning</t>
        </is>
      </c>
      <c r="C10" s="9" t="inlineStr">
        <is>
          <t>Future repeats projected in every list, with counts per month; past occurrences listed ticked or not.</t>
        </is>
      </c>
    </row>
    <row r="11">
      <c r="A11" s="9" t="n">
        <v>8</v>
      </c>
      <c r="B11" s="9" t="inlineStr">
        <is>
          <t>Calendar view</t>
        </is>
      </c>
      <c r="C11" s="9" t="inlineStr">
        <is>
          <t>Completed list items stay in their list but leave the Month view, the mini calendar and the agenda (0.7.0); the Month view's Show completed brings them back (0.8.0).</t>
        </is>
      </c>
    </row>
    <row r="12">
      <c r="A12" s="9" t="n">
        <v>9</v>
      </c>
      <c r="B12" s="9" t="inlineStr">
        <is>
          <t>Your layout</t>
        </is>
      </c>
      <c r="C12" s="9" t="inlineStr">
        <is>
          <t>Choose the columns of the Reminders tab and the lists, order lists by any column, and pick one of five alarm sounds, repeated continuously if you like (0.8.0).</t>
        </is>
      </c>
    </row>
    <row r="13">
      <c r="A13" s="9" t="n">
        <v>10</v>
      </c>
      <c r="B13" s="9" t="inlineStr">
        <is>
          <t>Your look</t>
        </is>
      </c>
      <c r="C13" s="9" t="inlineStr">
        <is>
          <t>Make your own themes from five colours, with a live preview and contrast warnings (0.8.1).</t>
        </is>
      </c>
    </row>
    <row r="14">
      <c r="A14" s="9" t="n">
        <v>11</v>
      </c>
      <c r="B14" s="9" t="inlineStr">
        <is>
          <t>Platforms</t>
        </is>
      </c>
      <c r="C14" s="9" t="inlineStr">
        <is>
          <t>Windows, macOS (one app for Apple silicon and Intel) and Linux (.deb and .tar.gz) from one source, each with its own wording, shortcuts and menus (0.9.0).</t>
        </is>
      </c>
    </row>
    <row r="15">
      <c r="A15" s="9" t="n">
        <v>12</v>
      </c>
      <c r="B15" s="9" t="inlineStr">
        <is>
          <t>Installer and tests</t>
        </is>
      </c>
      <c r="C15" s="9" t="inlineStr">
        <is>
          <t>A per-user installer with checksums and rollback, identical builds, and automated tests (unit, UI, installer).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2026-10-26T01:57:41Z</dcterms:created>
  <dcterms:modified xmlns:dcterms="http://purl.org/dc/terms/" xmlns:xsi="http://www.w3.org/2001/XMLSchema-instance" xsi:type="dcterms:W3CDTF">2026-10-26T01:57:41Z</dcterms:modified>
</cp:coreProperties>
</file>